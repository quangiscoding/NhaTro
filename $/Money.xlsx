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ro\"/>
    </mc:Choice>
  </mc:AlternateContent>
  <xr:revisionPtr revIDLastSave="0" documentId="13_ncr:1_{738FF77B-87B6-4043-8127-A3B3A3A8E43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026-07" sheetId="1" r:id="rId1"/>
  </sheets>
  <definedNames>
    <definedName name="_xlnm._FilterDatabase" localSheetId="0" hidden="1">'2026-07'!$E$5:$M$6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9" i="1" l="1"/>
  <c r="G30" i="1"/>
  <c r="G31" i="1"/>
  <c r="G32" i="1"/>
  <c r="G33" i="1"/>
  <c r="G34" i="1"/>
  <c r="G35" i="1"/>
  <c r="G36" i="1"/>
  <c r="G37" i="1"/>
  <c r="G38" i="1"/>
  <c r="G39" i="1"/>
  <c r="G40" i="1"/>
  <c r="G41" i="1"/>
  <c r="I41" i="1" s="1"/>
  <c r="J41" i="1" s="1"/>
  <c r="M41" i="1" s="1"/>
  <c r="G28" i="1"/>
  <c r="N43" i="1"/>
  <c r="K43" i="1"/>
  <c r="H43" i="1"/>
  <c r="F43" i="1"/>
  <c r="N42" i="1"/>
  <c r="K42" i="1"/>
  <c r="H42" i="1"/>
  <c r="F42" i="1"/>
  <c r="L41" i="1"/>
  <c r="L40" i="1"/>
  <c r="I40" i="1"/>
  <c r="J40" i="1" s="1"/>
  <c r="M40" i="1" s="1"/>
  <c r="L39" i="1"/>
  <c r="I39" i="1"/>
  <c r="J39" i="1" s="1"/>
  <c r="M39" i="1" s="1"/>
  <c r="L38" i="1"/>
  <c r="I38" i="1"/>
  <c r="J38" i="1" s="1"/>
  <c r="M38" i="1" s="1"/>
  <c r="L37" i="1"/>
  <c r="I37" i="1"/>
  <c r="J37" i="1" s="1"/>
  <c r="M37" i="1" s="1"/>
  <c r="L36" i="1"/>
  <c r="I36" i="1"/>
  <c r="J36" i="1" s="1"/>
  <c r="M36" i="1" s="1"/>
  <c r="L35" i="1"/>
  <c r="I35" i="1"/>
  <c r="J35" i="1" s="1"/>
  <c r="M35" i="1" s="1"/>
  <c r="L34" i="1"/>
  <c r="I34" i="1"/>
  <c r="J34" i="1" s="1"/>
  <c r="M34" i="1" s="1"/>
  <c r="L33" i="1"/>
  <c r="I33" i="1"/>
  <c r="J33" i="1" s="1"/>
  <c r="M33" i="1" s="1"/>
  <c r="L32" i="1"/>
  <c r="I32" i="1"/>
  <c r="J32" i="1" s="1"/>
  <c r="M32" i="1" s="1"/>
  <c r="L31" i="1"/>
  <c r="I31" i="1"/>
  <c r="J31" i="1" s="1"/>
  <c r="M31" i="1" s="1"/>
  <c r="L30" i="1"/>
  <c r="I30" i="1"/>
  <c r="J30" i="1" s="1"/>
  <c r="M30" i="1" s="1"/>
  <c r="L29" i="1"/>
  <c r="I29" i="1"/>
  <c r="J29" i="1" s="1"/>
  <c r="M29" i="1" s="1"/>
  <c r="L28" i="1"/>
  <c r="L43" i="1" s="1"/>
  <c r="G22" i="1"/>
  <c r="H22" i="1"/>
  <c r="K22" i="1"/>
  <c r="L22" i="1"/>
  <c r="N22" i="1"/>
  <c r="F22" i="1"/>
  <c r="G21" i="1"/>
  <c r="H21" i="1"/>
  <c r="K21" i="1"/>
  <c r="L21" i="1"/>
  <c r="N21" i="1"/>
  <c r="F21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7" i="1"/>
  <c r="J7" i="1" s="1"/>
  <c r="M7" i="1" s="1"/>
  <c r="M22" i="1" s="1"/>
  <c r="G42" i="1" l="1"/>
  <c r="I28" i="1"/>
  <c r="J28" i="1" s="1"/>
  <c r="J43" i="1" s="1"/>
  <c r="G43" i="1"/>
  <c r="M28" i="1"/>
  <c r="M43" i="1" s="1"/>
  <c r="J42" i="1"/>
  <c r="I42" i="1"/>
  <c r="L42" i="1"/>
  <c r="J21" i="1"/>
  <c r="M21" i="1" s="1"/>
  <c r="I21" i="1"/>
  <c r="J22" i="1"/>
  <c r="I22" i="1"/>
  <c r="I43" i="1" l="1"/>
  <c r="M42" i="1"/>
</calcChain>
</file>

<file path=xl/sharedStrings.xml><?xml version="1.0" encoding="utf-8"?>
<sst xmlns="http://schemas.openxmlformats.org/spreadsheetml/2006/main" count="32" uniqueCount="16">
  <si>
    <t>Phòng</t>
  </si>
  <si>
    <t>Số phòng</t>
  </si>
  <si>
    <t>Tiền phòng</t>
  </si>
  <si>
    <t>Điện</t>
  </si>
  <si>
    <t>Số đầu</t>
  </si>
  <si>
    <t>Số cuối</t>
  </si>
  <si>
    <t>Tiêu thụ</t>
  </si>
  <si>
    <t>Thành tiền</t>
  </si>
  <si>
    <t>Nước và phí quản lý</t>
  </si>
  <si>
    <t>Tổng</t>
  </si>
  <si>
    <t>Tiền cọc</t>
  </si>
  <si>
    <t>Sum</t>
  </si>
  <si>
    <t>Số người</t>
  </si>
  <si>
    <t>Tháng 07 - 2026</t>
  </si>
  <si>
    <t>Check</t>
  </si>
  <si>
    <t>Tháng 08 - 2026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</si>
</sst>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41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1" fontId="1" fillId="2" borderId="1" xfId="0" applyNumberFormat="1" applyFont="1" applyFill="1" applyBorder="1" applyAlignment="1">
      <alignment horizontal="center" vertical="center"/>
    </xf>
    <xf numFmtId="41" fontId="1" fillId="4" borderId="1" xfId="0" applyNumberFormat="1" applyFont="1" applyFill="1" applyBorder="1" applyAlignment="1">
      <alignment horizontal="center" vertical="center"/>
    </xf>
    <xf numFmtId="41" fontId="1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N43"/>
  <sheetViews>
    <sheetView tabSelected="1" topLeftCell="C27" zoomScale="117" workbookViewId="0">
      <selection activeCell="H8" sqref="H8"/>
    </sheetView>
  </sheetViews>
  <sheetFormatPr defaultColWidth="13.42578125" defaultRowHeight="15" x14ac:dyDescent="0.25"/>
  <sheetData>
    <row r="4" spans="5:14" ht="26.25" x14ac:dyDescent="0.4">
      <c r="E4" s="3" t="s">
        <v>13</v>
      </c>
      <c r="F4" s="3"/>
      <c r="G4" s="3"/>
      <c r="H4" s="3"/>
      <c r="I4" s="3"/>
      <c r="J4" s="3"/>
      <c r="K4" s="3"/>
      <c r="L4" s="3"/>
      <c r="M4" s="3"/>
      <c r="N4" s="4"/>
    </row>
    <row r="5" spans="5:14" x14ac:dyDescent="0.25">
      <c r="E5" s="1" t="s">
        <v>0</v>
      </c>
      <c r="F5" s="1"/>
      <c r="G5" s="1" t="s">
        <v>3</v>
      </c>
      <c r="H5" s="1"/>
      <c r="I5" s="1"/>
      <c r="J5" s="1"/>
      <c r="K5" s="1" t="s">
        <v>8</v>
      </c>
      <c r="L5" s="1"/>
      <c r="M5" s="1" t="s">
        <v>9</v>
      </c>
      <c r="N5" s="1" t="s">
        <v>10</v>
      </c>
    </row>
    <row r="6" spans="5:14" x14ac:dyDescent="0.25">
      <c r="E6" s="2" t="s">
        <v>1</v>
      </c>
      <c r="F6" s="2" t="s">
        <v>2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12</v>
      </c>
      <c r="L6" s="2" t="s">
        <v>7</v>
      </c>
      <c r="M6" s="1"/>
      <c r="N6" s="1"/>
    </row>
    <row r="7" spans="5:14" x14ac:dyDescent="0.25">
      <c r="E7" s="5">
        <v>103</v>
      </c>
      <c r="F7" s="9">
        <v>2500000</v>
      </c>
      <c r="G7" s="6">
        <v>2542</v>
      </c>
      <c r="H7" s="6">
        <v>3000</v>
      </c>
      <c r="I7" s="6">
        <f>IF(H7-G7 &gt; 0, H7-G7, 0)</f>
        <v>458</v>
      </c>
      <c r="J7" s="9">
        <f>I7*3000</f>
        <v>1374000</v>
      </c>
      <c r="K7" s="6">
        <v>1</v>
      </c>
      <c r="L7" s="9">
        <f>K7*110000</f>
        <v>110000</v>
      </c>
      <c r="M7" s="10">
        <f>F7+J7+L7</f>
        <v>3984000</v>
      </c>
      <c r="N7" s="6">
        <v>2500000</v>
      </c>
    </row>
    <row r="8" spans="5:14" x14ac:dyDescent="0.25">
      <c r="E8" s="5">
        <v>104</v>
      </c>
      <c r="F8" s="9">
        <v>3200000</v>
      </c>
      <c r="G8" s="6">
        <v>3736</v>
      </c>
      <c r="H8" s="6"/>
      <c r="I8" s="6">
        <f t="shared" ref="I8:I20" si="0">IF(H8-G8 &gt; 0, H8-G8, 0)</f>
        <v>0</v>
      </c>
      <c r="J8" s="9">
        <f t="shared" ref="J8:J20" si="1">I8*3000</f>
        <v>0</v>
      </c>
      <c r="K8" s="6">
        <v>1</v>
      </c>
      <c r="L8" s="9">
        <f t="shared" ref="L8:L20" si="2">K8*110000</f>
        <v>110000</v>
      </c>
      <c r="M8" s="10">
        <f t="shared" ref="M8:M20" si="3">F8+J8+L8</f>
        <v>3310000</v>
      </c>
      <c r="N8" s="6">
        <v>3000000</v>
      </c>
    </row>
    <row r="9" spans="5:14" x14ac:dyDescent="0.25">
      <c r="E9" s="5">
        <v>201</v>
      </c>
      <c r="F9" s="9">
        <v>3000000</v>
      </c>
      <c r="G9" s="6">
        <v>5894</v>
      </c>
      <c r="H9" s="6"/>
      <c r="I9" s="6">
        <f t="shared" si="0"/>
        <v>0</v>
      </c>
      <c r="J9" s="9">
        <f t="shared" si="1"/>
        <v>0</v>
      </c>
      <c r="K9" s="6">
        <v>2</v>
      </c>
      <c r="L9" s="9">
        <f t="shared" si="2"/>
        <v>220000</v>
      </c>
      <c r="M9" s="10">
        <f t="shared" si="3"/>
        <v>3220000</v>
      </c>
      <c r="N9" s="6">
        <v>2800000</v>
      </c>
    </row>
    <row r="10" spans="5:14" x14ac:dyDescent="0.25">
      <c r="E10" s="5">
        <v>202</v>
      </c>
      <c r="F10" s="9">
        <v>2800000</v>
      </c>
      <c r="G10" s="6">
        <v>5826</v>
      </c>
      <c r="H10" s="6"/>
      <c r="I10" s="6">
        <f t="shared" si="0"/>
        <v>0</v>
      </c>
      <c r="J10" s="9">
        <f t="shared" si="1"/>
        <v>0</v>
      </c>
      <c r="K10" s="6">
        <v>2</v>
      </c>
      <c r="L10" s="9">
        <f t="shared" si="2"/>
        <v>220000</v>
      </c>
      <c r="M10" s="10">
        <f t="shared" si="3"/>
        <v>3020000</v>
      </c>
      <c r="N10" s="6">
        <v>2800000</v>
      </c>
    </row>
    <row r="11" spans="5:14" x14ac:dyDescent="0.25">
      <c r="E11" s="5">
        <v>203</v>
      </c>
      <c r="F11" s="9">
        <v>3000000</v>
      </c>
      <c r="G11" s="6">
        <v>7113</v>
      </c>
      <c r="H11" s="6"/>
      <c r="I11" s="6">
        <f t="shared" si="0"/>
        <v>0</v>
      </c>
      <c r="J11" s="9">
        <f t="shared" si="1"/>
        <v>0</v>
      </c>
      <c r="K11" s="6">
        <v>1</v>
      </c>
      <c r="L11" s="9">
        <f t="shared" si="2"/>
        <v>110000</v>
      </c>
      <c r="M11" s="10">
        <f t="shared" si="3"/>
        <v>3110000</v>
      </c>
      <c r="N11" s="6">
        <v>3000000</v>
      </c>
    </row>
    <row r="12" spans="5:14" x14ac:dyDescent="0.25">
      <c r="E12" s="5">
        <v>204</v>
      </c>
      <c r="F12" s="9">
        <v>3200000</v>
      </c>
      <c r="G12" s="6">
        <v>14308</v>
      </c>
      <c r="H12" s="6"/>
      <c r="I12" s="6">
        <f t="shared" si="0"/>
        <v>0</v>
      </c>
      <c r="J12" s="9">
        <f t="shared" si="1"/>
        <v>0</v>
      </c>
      <c r="K12" s="6">
        <v>2</v>
      </c>
      <c r="L12" s="9">
        <f t="shared" si="2"/>
        <v>220000</v>
      </c>
      <c r="M12" s="10">
        <f t="shared" si="3"/>
        <v>3420000</v>
      </c>
      <c r="N12" s="6">
        <v>2800000</v>
      </c>
    </row>
    <row r="13" spans="5:14" x14ac:dyDescent="0.25">
      <c r="E13" s="5">
        <v>301</v>
      </c>
      <c r="F13" s="9">
        <v>3100000</v>
      </c>
      <c r="G13" s="6">
        <v>6034</v>
      </c>
      <c r="H13" s="6"/>
      <c r="I13" s="6">
        <f t="shared" si="0"/>
        <v>0</v>
      </c>
      <c r="J13" s="9">
        <f t="shared" si="1"/>
        <v>0</v>
      </c>
      <c r="K13" s="6">
        <v>1</v>
      </c>
      <c r="L13" s="9">
        <f t="shared" si="2"/>
        <v>110000</v>
      </c>
      <c r="M13" s="10">
        <f t="shared" si="3"/>
        <v>3210000</v>
      </c>
      <c r="N13" s="6">
        <v>3100000</v>
      </c>
    </row>
    <row r="14" spans="5:14" x14ac:dyDescent="0.25">
      <c r="E14" s="5">
        <v>302</v>
      </c>
      <c r="F14" s="9">
        <v>2900000</v>
      </c>
      <c r="G14" s="6">
        <v>6821</v>
      </c>
      <c r="H14" s="6"/>
      <c r="I14" s="6">
        <f t="shared" si="0"/>
        <v>0</v>
      </c>
      <c r="J14" s="9">
        <f t="shared" si="1"/>
        <v>0</v>
      </c>
      <c r="K14" s="6">
        <v>1</v>
      </c>
      <c r="L14" s="9">
        <f t="shared" si="2"/>
        <v>110000</v>
      </c>
      <c r="M14" s="10">
        <f t="shared" si="3"/>
        <v>3010000</v>
      </c>
      <c r="N14" s="6">
        <v>2900000</v>
      </c>
    </row>
    <row r="15" spans="5:14" x14ac:dyDescent="0.25">
      <c r="E15" s="5">
        <v>303</v>
      </c>
      <c r="F15" s="9">
        <v>3000000</v>
      </c>
      <c r="G15" s="6">
        <v>7758</v>
      </c>
      <c r="H15" s="6"/>
      <c r="I15" s="6">
        <f t="shared" si="0"/>
        <v>0</v>
      </c>
      <c r="J15" s="9">
        <f t="shared" si="1"/>
        <v>0</v>
      </c>
      <c r="K15" s="6">
        <v>2</v>
      </c>
      <c r="L15" s="9">
        <f t="shared" si="2"/>
        <v>220000</v>
      </c>
      <c r="M15" s="10">
        <f t="shared" si="3"/>
        <v>3220000</v>
      </c>
      <c r="N15" s="6">
        <v>3000000</v>
      </c>
    </row>
    <row r="16" spans="5:14" x14ac:dyDescent="0.25">
      <c r="E16" s="5">
        <v>304</v>
      </c>
      <c r="F16" s="9">
        <v>2900000</v>
      </c>
      <c r="G16" s="6">
        <v>6688</v>
      </c>
      <c r="H16" s="6"/>
      <c r="I16" s="6">
        <f t="shared" si="0"/>
        <v>0</v>
      </c>
      <c r="J16" s="9">
        <f t="shared" si="1"/>
        <v>0</v>
      </c>
      <c r="K16" s="6">
        <v>1</v>
      </c>
      <c r="L16" s="9">
        <f t="shared" si="2"/>
        <v>110000</v>
      </c>
      <c r="M16" s="10">
        <f t="shared" si="3"/>
        <v>3010000</v>
      </c>
      <c r="N16" s="6">
        <v>2500000</v>
      </c>
    </row>
    <row r="17" spans="5:14" x14ac:dyDescent="0.25">
      <c r="E17" s="5">
        <v>401</v>
      </c>
      <c r="F17" s="9">
        <v>3000000</v>
      </c>
      <c r="G17" s="6">
        <v>1763</v>
      </c>
      <c r="H17" s="6"/>
      <c r="I17" s="6">
        <f t="shared" si="0"/>
        <v>0</v>
      </c>
      <c r="J17" s="9">
        <f t="shared" si="1"/>
        <v>0</v>
      </c>
      <c r="K17" s="6">
        <v>2</v>
      </c>
      <c r="L17" s="9">
        <f t="shared" si="2"/>
        <v>220000</v>
      </c>
      <c r="M17" s="10">
        <f t="shared" si="3"/>
        <v>3220000</v>
      </c>
      <c r="N17" s="6">
        <v>2500000</v>
      </c>
    </row>
    <row r="18" spans="5:14" x14ac:dyDescent="0.25">
      <c r="E18" s="5">
        <v>402</v>
      </c>
      <c r="F18" s="9">
        <v>2800000</v>
      </c>
      <c r="G18" s="6">
        <v>5359</v>
      </c>
      <c r="H18" s="6"/>
      <c r="I18" s="6">
        <f t="shared" si="0"/>
        <v>0</v>
      </c>
      <c r="J18" s="9">
        <f t="shared" si="1"/>
        <v>0</v>
      </c>
      <c r="K18" s="6">
        <v>1</v>
      </c>
      <c r="L18" s="9">
        <f t="shared" si="2"/>
        <v>110000</v>
      </c>
      <c r="M18" s="10">
        <f t="shared" si="3"/>
        <v>2910000</v>
      </c>
      <c r="N18" s="6">
        <v>2800000</v>
      </c>
    </row>
    <row r="19" spans="5:14" x14ac:dyDescent="0.25">
      <c r="E19" s="5">
        <v>403</v>
      </c>
      <c r="F19" s="9">
        <v>2900000</v>
      </c>
      <c r="G19" s="6">
        <v>609</v>
      </c>
      <c r="H19" s="6"/>
      <c r="I19" s="6">
        <f t="shared" si="0"/>
        <v>0</v>
      </c>
      <c r="J19" s="9">
        <f t="shared" si="1"/>
        <v>0</v>
      </c>
      <c r="K19" s="6">
        <v>2</v>
      </c>
      <c r="L19" s="9">
        <f t="shared" si="2"/>
        <v>220000</v>
      </c>
      <c r="M19" s="10">
        <f t="shared" si="3"/>
        <v>3120000</v>
      </c>
      <c r="N19" s="6">
        <v>2300000</v>
      </c>
    </row>
    <row r="20" spans="5:14" x14ac:dyDescent="0.25">
      <c r="E20" s="5">
        <v>404</v>
      </c>
      <c r="F20" s="9">
        <v>2900000</v>
      </c>
      <c r="G20" s="6">
        <v>6993</v>
      </c>
      <c r="H20" s="6"/>
      <c r="I20" s="6">
        <f t="shared" si="0"/>
        <v>0</v>
      </c>
      <c r="J20" s="9">
        <f t="shared" si="1"/>
        <v>0</v>
      </c>
      <c r="K20" s="6">
        <v>1</v>
      </c>
      <c r="L20" s="9">
        <f t="shared" si="2"/>
        <v>110000</v>
      </c>
      <c r="M20" s="10">
        <f t="shared" si="3"/>
        <v>3010000</v>
      </c>
      <c r="N20" s="6">
        <v>2300000</v>
      </c>
    </row>
    <row r="21" spans="5:14" x14ac:dyDescent="0.25">
      <c r="E21" s="7" t="s">
        <v>11</v>
      </c>
      <c r="F21" s="8">
        <f>SUM(F7:F20)</f>
        <v>41200000</v>
      </c>
      <c r="G21" s="8">
        <f t="shared" ref="G21:N21" si="4">SUM(G7:G20)</f>
        <v>81444</v>
      </c>
      <c r="H21" s="8">
        <f t="shared" si="4"/>
        <v>3000</v>
      </c>
      <c r="I21" s="8">
        <f t="shared" si="4"/>
        <v>458</v>
      </c>
      <c r="J21" s="8">
        <f t="shared" si="4"/>
        <v>1374000</v>
      </c>
      <c r="K21" s="8">
        <f t="shared" si="4"/>
        <v>20</v>
      </c>
      <c r="L21" s="8">
        <f t="shared" si="4"/>
        <v>2200000</v>
      </c>
      <c r="M21" s="8">
        <f>F21+J21+L21</f>
        <v>44774000</v>
      </c>
      <c r="N21" s="8">
        <f t="shared" si="4"/>
        <v>38300000</v>
      </c>
    </row>
    <row r="22" spans="5:14" x14ac:dyDescent="0.25">
      <c r="E22" s="7" t="s">
        <v>14</v>
      </c>
      <c r="F22" s="8">
        <f>SUM(F7:F20)</f>
        <v>41200000</v>
      </c>
      <c r="G22" s="8">
        <f t="shared" ref="G22:N22" si="5">SUM(G7:G20)</f>
        <v>81444</v>
      </c>
      <c r="H22" s="8">
        <f t="shared" si="5"/>
        <v>3000</v>
      </c>
      <c r="I22" s="8">
        <f t="shared" si="5"/>
        <v>458</v>
      </c>
      <c r="J22" s="8">
        <f t="shared" si="5"/>
        <v>1374000</v>
      </c>
      <c r="K22" s="8">
        <f t="shared" si="5"/>
        <v>20</v>
      </c>
      <c r="L22" s="8">
        <f t="shared" si="5"/>
        <v>2200000</v>
      </c>
      <c r="M22" s="8">
        <f t="shared" si="5"/>
        <v>44774000</v>
      </c>
      <c r="N22" s="8">
        <f t="shared" si="5"/>
        <v>38300000</v>
      </c>
    </row>
    <row r="25" spans="5:14" ht="26.25" x14ac:dyDescent="0.4">
      <c r="E25" s="3" t="s">
        <v>15</v>
      </c>
      <c r="F25" s="3"/>
      <c r="G25" s="3"/>
      <c r="H25" s="3"/>
      <c r="I25" s="3"/>
      <c r="J25" s="3"/>
      <c r="K25" s="3"/>
      <c r="L25" s="3"/>
      <c r="M25" s="3"/>
      <c r="N25" s="4"/>
    </row>
    <row r="26" spans="5:14" x14ac:dyDescent="0.25">
      <c r="E26" s="1" t="s">
        <v>0</v>
      </c>
      <c r="F26" s="1"/>
      <c r="G26" s="1" t="s">
        <v>3</v>
      </c>
      <c r="H26" s="1"/>
      <c r="I26" s="1"/>
      <c r="J26" s="1"/>
      <c r="K26" s="1" t="s">
        <v>8</v>
      </c>
      <c r="L26" s="1"/>
      <c r="M26" s="1" t="s">
        <v>9</v>
      </c>
      <c r="N26" s="1" t="s">
        <v>10</v>
      </c>
    </row>
    <row r="27" spans="5:14" x14ac:dyDescent="0.25">
      <c r="E27" s="2" t="s">
        <v>1</v>
      </c>
      <c r="F27" s="2" t="s">
        <v>2</v>
      </c>
      <c r="G27" s="2" t="s">
        <v>4</v>
      </c>
      <c r="H27" s="2" t="s">
        <v>5</v>
      </c>
      <c r="I27" s="2" t="s">
        <v>6</v>
      </c>
      <c r="J27" s="2" t="s">
        <v>7</v>
      </c>
      <c r="K27" s="2" t="s">
        <v>12</v>
      </c>
      <c r="L27" s="2" t="s">
        <v>7</v>
      </c>
      <c r="M27" s="1"/>
      <c r="N27" s="1"/>
    </row>
    <row r="28" spans="5:14" x14ac:dyDescent="0.25">
      <c r="E28" s="5">
        <v>103</v>
      </c>
      <c r="F28" s="9">
        <v>2500000</v>
      </c>
      <c r="G28" s="6">
        <f>H7</f>
        <v>3000</v>
      </c>
      <c r="H28" s="6"/>
      <c r="I28" s="6">
        <f>IF(H28-G28 &gt; 0, H28-G28, 0)</f>
        <v>0</v>
      </c>
      <c r="J28" s="9">
        <f>I28*3000</f>
        <v>0</v>
      </c>
      <c r="K28" s="6">
        <v>1</v>
      </c>
      <c r="L28" s="9">
        <f>K28*110000</f>
        <v>110000</v>
      </c>
      <c r="M28" s="10">
        <f>F28+J28+L28</f>
        <v>2610000</v>
      </c>
      <c r="N28" s="6">
        <v>2500000</v>
      </c>
    </row>
    <row r="29" spans="5:14" x14ac:dyDescent="0.25">
      <c r="E29" s="5">
        <v>104</v>
      </c>
      <c r="F29" s="9">
        <v>3200000</v>
      </c>
      <c r="G29" s="6">
        <f t="shared" ref="G29:G41" si="6">H8</f>
        <v>0</v>
      </c>
      <c r="H29" s="6"/>
      <c r="I29" s="6">
        <f t="shared" ref="I29:I41" si="7">IF(H29-G29 &gt; 0, H29-G29, 0)</f>
        <v>0</v>
      </c>
      <c r="J29" s="9">
        <f t="shared" ref="J29:J41" si="8">I29*3000</f>
        <v>0</v>
      </c>
      <c r="K29" s="6">
        <v>1</v>
      </c>
      <c r="L29" s="9">
        <f t="shared" ref="L29:L41" si="9">K29*110000</f>
        <v>110000</v>
      </c>
      <c r="M29" s="10">
        <f t="shared" ref="M29:M41" si="10">F29+J29+L29</f>
        <v>3310000</v>
      </c>
      <c r="N29" s="6">
        <v>3000000</v>
      </c>
    </row>
    <row r="30" spans="5:14" x14ac:dyDescent="0.25">
      <c r="E30" s="5">
        <v>201</v>
      </c>
      <c r="F30" s="9">
        <v>3000000</v>
      </c>
      <c r="G30" s="6">
        <f t="shared" si="6"/>
        <v>0</v>
      </c>
      <c r="H30" s="6"/>
      <c r="I30" s="6">
        <f t="shared" si="7"/>
        <v>0</v>
      </c>
      <c r="J30" s="9">
        <f t="shared" si="8"/>
        <v>0</v>
      </c>
      <c r="K30" s="6">
        <v>2</v>
      </c>
      <c r="L30" s="9">
        <f t="shared" si="9"/>
        <v>220000</v>
      </c>
      <c r="M30" s="10">
        <f t="shared" si="10"/>
        <v>3220000</v>
      </c>
      <c r="N30" s="6">
        <v>2800000</v>
      </c>
    </row>
    <row r="31" spans="5:14" x14ac:dyDescent="0.25">
      <c r="E31" s="5">
        <v>202</v>
      </c>
      <c r="F31" s="9">
        <v>2800000</v>
      </c>
      <c r="G31" s="6">
        <f t="shared" si="6"/>
        <v>0</v>
      </c>
      <c r="H31" s="6"/>
      <c r="I31" s="6">
        <f t="shared" si="7"/>
        <v>0</v>
      </c>
      <c r="J31" s="9">
        <f t="shared" si="8"/>
        <v>0</v>
      </c>
      <c r="K31" s="6">
        <v>2</v>
      </c>
      <c r="L31" s="9">
        <f t="shared" si="9"/>
        <v>220000</v>
      </c>
      <c r="M31" s="10">
        <f t="shared" si="10"/>
        <v>3020000</v>
      </c>
      <c r="N31" s="6">
        <v>2800000</v>
      </c>
    </row>
    <row r="32" spans="5:14" x14ac:dyDescent="0.25">
      <c r="E32" s="5">
        <v>203</v>
      </c>
      <c r="F32" s="9">
        <v>3000000</v>
      </c>
      <c r="G32" s="6">
        <f t="shared" si="6"/>
        <v>0</v>
      </c>
      <c r="H32" s="6"/>
      <c r="I32" s="6">
        <f t="shared" si="7"/>
        <v>0</v>
      </c>
      <c r="J32" s="9">
        <f t="shared" si="8"/>
        <v>0</v>
      </c>
      <c r="K32" s="6">
        <v>1</v>
      </c>
      <c r="L32" s="9">
        <f t="shared" si="9"/>
        <v>110000</v>
      </c>
      <c r="M32" s="10">
        <f t="shared" si="10"/>
        <v>3110000</v>
      </c>
      <c r="N32" s="6">
        <v>3000000</v>
      </c>
    </row>
    <row r="33" spans="5:14" x14ac:dyDescent="0.25">
      <c r="E33" s="5">
        <v>204</v>
      </c>
      <c r="F33" s="9">
        <v>3200000</v>
      </c>
      <c r="G33" s="6">
        <f t="shared" si="6"/>
        <v>0</v>
      </c>
      <c r="H33" s="6"/>
      <c r="I33" s="6">
        <f t="shared" si="7"/>
        <v>0</v>
      </c>
      <c r="J33" s="9">
        <f t="shared" si="8"/>
        <v>0</v>
      </c>
      <c r="K33" s="6">
        <v>2</v>
      </c>
      <c r="L33" s="9">
        <f t="shared" si="9"/>
        <v>220000</v>
      </c>
      <c r="M33" s="10">
        <f t="shared" si="10"/>
        <v>3420000</v>
      </c>
      <c r="N33" s="6">
        <v>2800000</v>
      </c>
    </row>
    <row r="34" spans="5:14" x14ac:dyDescent="0.25">
      <c r="E34" s="5">
        <v>301</v>
      </c>
      <c r="F34" s="9">
        <v>3100000</v>
      </c>
      <c r="G34" s="6">
        <f t="shared" si="6"/>
        <v>0</v>
      </c>
      <c r="H34" s="6"/>
      <c r="I34" s="6">
        <f t="shared" si="7"/>
        <v>0</v>
      </c>
      <c r="J34" s="9">
        <f t="shared" si="8"/>
        <v>0</v>
      </c>
      <c r="K34" s="6">
        <v>1</v>
      </c>
      <c r="L34" s="9">
        <f t="shared" si="9"/>
        <v>110000</v>
      </c>
      <c r="M34" s="10">
        <f t="shared" si="10"/>
        <v>3210000</v>
      </c>
      <c r="N34" s="6">
        <v>3100000</v>
      </c>
    </row>
    <row r="35" spans="5:14" x14ac:dyDescent="0.25">
      <c r="E35" s="5">
        <v>302</v>
      </c>
      <c r="F35" s="9">
        <v>2900000</v>
      </c>
      <c r="G35" s="6">
        <f t="shared" si="6"/>
        <v>0</v>
      </c>
      <c r="H35" s="6"/>
      <c r="I35" s="6">
        <f t="shared" si="7"/>
        <v>0</v>
      </c>
      <c r="J35" s="9">
        <f t="shared" si="8"/>
        <v>0</v>
      </c>
      <c r="K35" s="6">
        <v>1</v>
      </c>
      <c r="L35" s="9">
        <f t="shared" si="9"/>
        <v>110000</v>
      </c>
      <c r="M35" s="10">
        <f t="shared" si="10"/>
        <v>3010000</v>
      </c>
      <c r="N35" s="6">
        <v>2900000</v>
      </c>
    </row>
    <row r="36" spans="5:14" x14ac:dyDescent="0.25">
      <c r="E36" s="5">
        <v>303</v>
      </c>
      <c r="F36" s="9">
        <v>3000000</v>
      </c>
      <c r="G36" s="6">
        <f t="shared" si="6"/>
        <v>0</v>
      </c>
      <c r="H36" s="6"/>
      <c r="I36" s="6">
        <f t="shared" si="7"/>
        <v>0</v>
      </c>
      <c r="J36" s="9">
        <f t="shared" si="8"/>
        <v>0</v>
      </c>
      <c r="K36" s="6">
        <v>2</v>
      </c>
      <c r="L36" s="9">
        <f t="shared" si="9"/>
        <v>220000</v>
      </c>
      <c r="M36" s="10">
        <f t="shared" si="10"/>
        <v>3220000</v>
      </c>
      <c r="N36" s="6">
        <v>3000000</v>
      </c>
    </row>
    <row r="37" spans="5:14" x14ac:dyDescent="0.25">
      <c r="E37" s="5">
        <v>304</v>
      </c>
      <c r="F37" s="9">
        <v>2900000</v>
      </c>
      <c r="G37" s="6">
        <f t="shared" si="6"/>
        <v>0</v>
      </c>
      <c r="H37" s="6"/>
      <c r="I37" s="6">
        <f t="shared" si="7"/>
        <v>0</v>
      </c>
      <c r="J37" s="9">
        <f t="shared" si="8"/>
        <v>0</v>
      </c>
      <c r="K37" s="6">
        <v>1</v>
      </c>
      <c r="L37" s="9">
        <f t="shared" si="9"/>
        <v>110000</v>
      </c>
      <c r="M37" s="10">
        <f t="shared" si="10"/>
        <v>3010000</v>
      </c>
      <c r="N37" s="6">
        <v>2500000</v>
      </c>
    </row>
    <row r="38" spans="5:14" x14ac:dyDescent="0.25">
      <c r="E38" s="5">
        <v>401</v>
      </c>
      <c r="F38" s="9">
        <v>3000000</v>
      </c>
      <c r="G38" s="6">
        <f t="shared" si="6"/>
        <v>0</v>
      </c>
      <c r="H38" s="6"/>
      <c r="I38" s="6">
        <f t="shared" si="7"/>
        <v>0</v>
      </c>
      <c r="J38" s="9">
        <f t="shared" si="8"/>
        <v>0</v>
      </c>
      <c r="K38" s="6">
        <v>2</v>
      </c>
      <c r="L38" s="9">
        <f t="shared" si="9"/>
        <v>220000</v>
      </c>
      <c r="M38" s="10">
        <f t="shared" si="10"/>
        <v>3220000</v>
      </c>
      <c r="N38" s="6">
        <v>2500000</v>
      </c>
    </row>
    <row r="39" spans="5:14" x14ac:dyDescent="0.25">
      <c r="E39" s="5">
        <v>402</v>
      </c>
      <c r="F39" s="9">
        <v>2800000</v>
      </c>
      <c r="G39" s="6">
        <f t="shared" si="6"/>
        <v>0</v>
      </c>
      <c r="H39" s="6"/>
      <c r="I39" s="6">
        <f t="shared" si="7"/>
        <v>0</v>
      </c>
      <c r="J39" s="9">
        <f t="shared" si="8"/>
        <v>0</v>
      </c>
      <c r="K39" s="6">
        <v>1</v>
      </c>
      <c r="L39" s="9">
        <f t="shared" si="9"/>
        <v>110000</v>
      </c>
      <c r="M39" s="10">
        <f t="shared" si="10"/>
        <v>2910000</v>
      </c>
      <c r="N39" s="6">
        <v>2800000</v>
      </c>
    </row>
    <row r="40" spans="5:14" x14ac:dyDescent="0.25">
      <c r="E40" s="5">
        <v>403</v>
      </c>
      <c r="F40" s="9">
        <v>2900000</v>
      </c>
      <c r="G40" s="6">
        <f t="shared" si="6"/>
        <v>0</v>
      </c>
      <c r="H40" s="6"/>
      <c r="I40" s="6">
        <f t="shared" si="7"/>
        <v>0</v>
      </c>
      <c r="J40" s="9">
        <f t="shared" si="8"/>
        <v>0</v>
      </c>
      <c r="K40" s="6">
        <v>2</v>
      </c>
      <c r="L40" s="9">
        <f t="shared" si="9"/>
        <v>220000</v>
      </c>
      <c r="M40" s="10">
        <f t="shared" si="10"/>
        <v>3120000</v>
      </c>
      <c r="N40" s="6">
        <v>2300000</v>
      </c>
    </row>
    <row r="41" spans="5:14" x14ac:dyDescent="0.25">
      <c r="E41" s="5">
        <v>404</v>
      </c>
      <c r="F41" s="9">
        <v>2900000</v>
      </c>
      <c r="G41" s="6">
        <f t="shared" si="6"/>
        <v>0</v>
      </c>
      <c r="H41" s="6"/>
      <c r="I41" s="6">
        <f t="shared" si="7"/>
        <v>0</v>
      </c>
      <c r="J41" s="9">
        <f t="shared" si="8"/>
        <v>0</v>
      </c>
      <c r="K41" s="6">
        <v>1</v>
      </c>
      <c r="L41" s="9">
        <f t="shared" si="9"/>
        <v>110000</v>
      </c>
      <c r="M41" s="10">
        <f t="shared" si="10"/>
        <v>3010000</v>
      </c>
      <c r="N41" s="6">
        <v>2300000</v>
      </c>
    </row>
    <row r="42" spans="5:14" x14ac:dyDescent="0.25">
      <c r="E42" s="7" t="s">
        <v>11</v>
      </c>
      <c r="F42" s="8">
        <f>SUM(F28:F41)</f>
        <v>41200000</v>
      </c>
      <c r="G42" s="8">
        <f t="shared" ref="G42" si="11">SUM(G28:G41)</f>
        <v>3000</v>
      </c>
      <c r="H42" s="8">
        <f t="shared" ref="H42" si="12">SUM(H28:H41)</f>
        <v>0</v>
      </c>
      <c r="I42" s="8">
        <f t="shared" ref="I42" si="13">SUM(I28:I41)</f>
        <v>0</v>
      </c>
      <c r="J42" s="8">
        <f t="shared" ref="J42" si="14">SUM(J28:J41)</f>
        <v>0</v>
      </c>
      <c r="K42" s="8">
        <f t="shared" ref="K42" si="15">SUM(K28:K41)</f>
        <v>20</v>
      </c>
      <c r="L42" s="8">
        <f t="shared" ref="L42" si="16">SUM(L28:L41)</f>
        <v>2200000</v>
      </c>
      <c r="M42" s="8">
        <f>F42+J42+L42</f>
        <v>43400000</v>
      </c>
      <c r="N42" s="8">
        <f t="shared" ref="N42" si="17">SUM(N28:N41)</f>
        <v>38300000</v>
      </c>
    </row>
    <row r="43" spans="5:14" x14ac:dyDescent="0.25">
      <c r="E43" s="7" t="s">
        <v>14</v>
      </c>
      <c r="F43" s="8">
        <f>SUM(F28:F41)</f>
        <v>41200000</v>
      </c>
      <c r="G43" s="8">
        <f t="shared" ref="G43:N43" si="18">SUM(G28:G41)</f>
        <v>3000</v>
      </c>
      <c r="H43" s="8">
        <f t="shared" si="18"/>
        <v>0</v>
      </c>
      <c r="I43" s="8">
        <f t="shared" si="18"/>
        <v>0</v>
      </c>
      <c r="J43" s="8">
        <f t="shared" si="18"/>
        <v>0</v>
      </c>
      <c r="K43" s="8">
        <f t="shared" si="18"/>
        <v>20</v>
      </c>
      <c r="L43" s="8">
        <f t="shared" si="18"/>
        <v>2200000</v>
      </c>
      <c r="M43" s="8">
        <f t="shared" si="18"/>
        <v>43400000</v>
      </c>
      <c r="N43" s="8">
        <f t="shared" si="18"/>
        <v>38300000</v>
      </c>
    </row>
  </sheetData>
  <autoFilter ref="E5:M6" xr:uid="{00000000-0001-0000-0000-000000000000}">
    <filterColumn colId="0" showButton="0"/>
    <filterColumn colId="2" showButton="0"/>
    <filterColumn colId="3" showButton="0"/>
    <filterColumn colId="4" showButton="0"/>
    <filterColumn colId="6" showButton="0"/>
  </autoFilter>
  <mergeCells count="12">
    <mergeCell ref="E25:M25"/>
    <mergeCell ref="E26:F26"/>
    <mergeCell ref="G26:J26"/>
    <mergeCell ref="K26:L26"/>
    <mergeCell ref="M26:M27"/>
    <mergeCell ref="N26:N27"/>
    <mergeCell ref="E5:F5"/>
    <mergeCell ref="G5:J5"/>
    <mergeCell ref="K5:L5"/>
    <mergeCell ref="M5:M6"/>
    <mergeCell ref="N5:N6"/>
    <mergeCell ref="E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Quang</dc:creator>
  <cp:lastModifiedBy>Quang Nguyễn</cp:lastModifiedBy>
  <dcterms:created xsi:type="dcterms:W3CDTF">2015-06-05T18:17:20Z</dcterms:created>
  <dcterms:modified xsi:type="dcterms:W3CDTF">2026-06-20T01:07:39Z</dcterms:modified>
</cp:coreProperties>
</file>
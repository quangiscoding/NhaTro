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tro\$\"/>
    </mc:Choice>
  </mc:AlternateContent>
  <xr:revisionPtr revIDLastSave="0" documentId="13_ncr:1_{9E309262-BEC0-4CBA-A084-698211731E7C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2026-07" sheetId="1" r:id="rId1"/>
  </sheets>
  <definedNames>
    <definedName name="_xlnm._FilterDatabase" localSheetId="0" hidden="1">'2026-07'!$E$5:$M$6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1" l="1"/>
  <c r="H22" i="1"/>
  <c r="K22" i="1"/>
  <c r="L22" i="1"/>
  <c r="N22" i="1"/>
  <c r="F22" i="1"/>
  <c r="G21" i="1"/>
  <c r="H21" i="1"/>
  <c r="K21" i="1"/>
  <c r="L21" i="1"/>
  <c r="N21" i="1"/>
  <c r="F21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7" i="1"/>
  <c r="J7" i="1" s="1"/>
  <c r="M7" i="1" s="1"/>
  <c r="M22" i="1" s="1"/>
  <c r="J21" i="1" l="1"/>
  <c r="M21" i="1" s="1"/>
  <c r="I21" i="1"/>
  <c r="J22" i="1"/>
  <c r="I22" i="1"/>
</calcChain>
</file>

<file path=xl/sharedStrings.xml><?xml version="1.0" encoding="utf-8"?>
<sst xmlns="http://schemas.openxmlformats.org/spreadsheetml/2006/main" count="16" uniqueCount="15">
  <si>
    <t>Phòng</t>
  </si>
  <si>
    <t>Số phòng</t>
  </si>
  <si>
    <t>Tiền phòng</t>
  </si>
  <si>
    <t>Điện</t>
  </si>
  <si>
    <t>Số đầu</t>
  </si>
  <si>
    <t>Số cuối</t>
  </si>
  <si>
    <t>Tiêu thụ</t>
  </si>
  <si>
    <t>Thành tiền</t>
  </si>
  <si>
    <t>Nước và phí quản lý</t>
  </si>
  <si>
    <t>Tổng</t>
  </si>
  <si>
    <t>Tiền cọc</t>
  </si>
  <si>
    <t>Sum</t>
  </si>
  <si>
    <t>Số người</t>
  </si>
  <si>
    <t>Tháng 07 - 2026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</si>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</sst>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41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1" fontId="1" fillId="2" borderId="1" xfId="0" applyNumberFormat="1" applyFont="1" applyFill="1" applyBorder="1" applyAlignment="1">
      <alignment horizontal="center" vertical="center"/>
    </xf>
    <xf numFmtId="41" fontId="1" fillId="4" borderId="1" xfId="0" applyNumberFormat="1" applyFont="1" applyFill="1" applyBorder="1" applyAlignment="1">
      <alignment horizontal="center" vertical="center"/>
    </xf>
    <xf numFmtId="41" fontId="1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4:N22"/>
  <sheetViews>
    <sheetView tabSelected="1" topLeftCell="B1" zoomScale="76" zoomScaleNormal="76" workbookViewId="0">
      <selection activeCell="J27" sqref="J27"/>
    </sheetView>
  </sheetViews>
  <sheetFormatPr defaultColWidth="13.42578125" defaultRowHeight="15" x14ac:dyDescent="0.25"/>
  <sheetData>
    <row r="4" spans="5:14" ht="26.25" x14ac:dyDescent="0.4">
      <c r="E4" s="9" t="s">
        <v>13</v>
      </c>
      <c r="F4" s="9"/>
      <c r="G4" s="9"/>
      <c r="H4" s="9"/>
      <c r="I4" s="9"/>
      <c r="J4" s="9"/>
      <c r="K4" s="9"/>
      <c r="L4" s="9"/>
      <c r="M4" s="9"/>
      <c r="N4" s="2"/>
    </row>
    <row r="5" spans="5:14" x14ac:dyDescent="0.25">
      <c r="E5" s="10" t="s">
        <v>0</v>
      </c>
      <c r="F5" s="10"/>
      <c r="G5" s="10" t="s">
        <v>3</v>
      </c>
      <c r="H5" s="10"/>
      <c r="I5" s="10"/>
      <c r="J5" s="10"/>
      <c r="K5" s="10" t="s">
        <v>8</v>
      </c>
      <c r="L5" s="10"/>
      <c r="M5" s="10" t="s">
        <v>9</v>
      </c>
      <c r="N5" s="10" t="s">
        <v>10</v>
      </c>
    </row>
    <row r="6" spans="5:14" x14ac:dyDescent="0.25">
      <c r="E6" s="1" t="s">
        <v>1</v>
      </c>
      <c r="F6" s="1" t="s">
        <v>2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12</v>
      </c>
      <c r="L6" s="1" t="s">
        <v>7</v>
      </c>
      <c r="M6" s="10"/>
      <c r="N6" s="10"/>
    </row>
    <row r="7" spans="5:14" x14ac:dyDescent="0.25">
      <c r="E7" s="3">
        <v>103</v>
      </c>
      <c r="F7" s="7">
        <v>2500000</v>
      </c>
      <c r="G7" s="4">
        <v>2542</v>
      </c>
      <c r="H7" s="4">
        <v>3000</v>
      </c>
      <c r="I7" s="4">
        <f>IF(H7-G7 &gt; 0, H7-G7, 0)</f>
        <v>458</v>
      </c>
      <c r="J7" s="7">
        <f>I7*3000</f>
        <v>1374000</v>
      </c>
      <c r="K7" s="4">
        <v>1</v>
      </c>
      <c r="L7" s="7">
        <f>K7*110000</f>
        <v>110000</v>
      </c>
      <c r="M7" s="8">
        <f>F7+J7+L7</f>
        <v>3984000</v>
      </c>
      <c r="N7" s="4">
        <v>2500000</v>
      </c>
    </row>
    <row r="8" spans="5:14" x14ac:dyDescent="0.25">
      <c r="E8" s="3">
        <v>104</v>
      </c>
      <c r="F8" s="7">
        <v>3200000</v>
      </c>
      <c r="G8" s="4">
        <v>3736</v>
      </c>
      <c r="H8" s="4"/>
      <c r="I8" s="4">
        <f t="shared" ref="I8:I20" si="0">IF(H8-G8 &gt; 0, H8-G8, 0)</f>
        <v>0</v>
      </c>
      <c r="J8" s="7">
        <f t="shared" ref="J8:J20" si="1">I8*3000</f>
        <v>0</v>
      </c>
      <c r="K8" s="4">
        <v>1</v>
      </c>
      <c r="L8" s="7">
        <f t="shared" ref="L8:L20" si="2">K8*110000</f>
        <v>110000</v>
      </c>
      <c r="M8" s="8">
        <f t="shared" ref="M8:M20" si="3">F8+J8+L8</f>
        <v>3310000</v>
      </c>
      <c r="N8" s="4">
        <v>3000000</v>
      </c>
    </row>
    <row r="9" spans="5:14" x14ac:dyDescent="0.25">
      <c r="E9" s="3">
        <v>201</v>
      </c>
      <c r="F9" s="7">
        <v>3000000</v>
      </c>
      <c r="G9" s="4">
        <v>5894</v>
      </c>
      <c r="H9" s="4"/>
      <c r="I9" s="4">
        <f t="shared" si="0"/>
        <v>0</v>
      </c>
      <c r="J9" s="7">
        <f t="shared" si="1"/>
        <v>0</v>
      </c>
      <c r="K9" s="4">
        <v>2</v>
      </c>
      <c r="L9" s="7">
        <f t="shared" si="2"/>
        <v>220000</v>
      </c>
      <c r="M9" s="8">
        <f t="shared" si="3"/>
        <v>3220000</v>
      </c>
      <c r="N9" s="4">
        <v>2800000</v>
      </c>
    </row>
    <row r="10" spans="5:14" x14ac:dyDescent="0.25">
      <c r="E10" s="3">
        <v>202</v>
      </c>
      <c r="F10" s="7">
        <v>2800000</v>
      </c>
      <c r="G10" s="4">
        <v>5826</v>
      </c>
      <c r="H10" s="4"/>
      <c r="I10" s="4">
        <f t="shared" si="0"/>
        <v>0</v>
      </c>
      <c r="J10" s="7">
        <f t="shared" si="1"/>
        <v>0</v>
      </c>
      <c r="K10" s="4">
        <v>2</v>
      </c>
      <c r="L10" s="7">
        <f t="shared" si="2"/>
        <v>220000</v>
      </c>
      <c r="M10" s="8">
        <f t="shared" si="3"/>
        <v>3020000</v>
      </c>
      <c r="N10" s="4">
        <v>2800000</v>
      </c>
    </row>
    <row r="11" spans="5:14" x14ac:dyDescent="0.25">
      <c r="E11" s="3">
        <v>203</v>
      </c>
      <c r="F11" s="7">
        <v>3000000</v>
      </c>
      <c r="G11" s="4">
        <v>7113</v>
      </c>
      <c r="H11" s="4"/>
      <c r="I11" s="4">
        <f t="shared" si="0"/>
        <v>0</v>
      </c>
      <c r="J11" s="7">
        <f t="shared" si="1"/>
        <v>0</v>
      </c>
      <c r="K11" s="4">
        <v>1</v>
      </c>
      <c r="L11" s="7">
        <f t="shared" si="2"/>
        <v>110000</v>
      </c>
      <c r="M11" s="8">
        <f t="shared" si="3"/>
        <v>3110000</v>
      </c>
      <c r="N11" s="4">
        <v>3000000</v>
      </c>
    </row>
    <row r="12" spans="5:14" x14ac:dyDescent="0.25">
      <c r="E12" s="3">
        <v>204</v>
      </c>
      <c r="F12" s="7">
        <v>3200000</v>
      </c>
      <c r="G12" s="4">
        <v>14308</v>
      </c>
      <c r="H12" s="4"/>
      <c r="I12" s="4">
        <f t="shared" si="0"/>
        <v>0</v>
      </c>
      <c r="J12" s="7">
        <f t="shared" si="1"/>
        <v>0</v>
      </c>
      <c r="K12" s="4">
        <v>2</v>
      </c>
      <c r="L12" s="7">
        <f t="shared" si="2"/>
        <v>220000</v>
      </c>
      <c r="M12" s="8">
        <f t="shared" si="3"/>
        <v>3420000</v>
      </c>
      <c r="N12" s="4">
        <v>2800000</v>
      </c>
    </row>
    <row r="13" spans="5:14" x14ac:dyDescent="0.25">
      <c r="E13" s="3">
        <v>301</v>
      </c>
      <c r="F13" s="7">
        <v>3100000</v>
      </c>
      <c r="G13" s="4">
        <v>6034</v>
      </c>
      <c r="H13" s="4"/>
      <c r="I13" s="4">
        <f t="shared" si="0"/>
        <v>0</v>
      </c>
      <c r="J13" s="7">
        <f t="shared" si="1"/>
        <v>0</v>
      </c>
      <c r="K13" s="4">
        <v>1</v>
      </c>
      <c r="L13" s="7">
        <f t="shared" si="2"/>
        <v>110000</v>
      </c>
      <c r="M13" s="8">
        <f t="shared" si="3"/>
        <v>3210000</v>
      </c>
      <c r="N13" s="4">
        <v>3100000</v>
      </c>
    </row>
    <row r="14" spans="5:14" x14ac:dyDescent="0.25">
      <c r="E14" s="3">
        <v>302</v>
      </c>
      <c r="F14" s="7">
        <v>2900000</v>
      </c>
      <c r="G14" s="4">
        <v>6821</v>
      </c>
      <c r="H14" s="4"/>
      <c r="I14" s="4">
        <f t="shared" si="0"/>
        <v>0</v>
      </c>
      <c r="J14" s="7">
        <f t="shared" si="1"/>
        <v>0</v>
      </c>
      <c r="K14" s="4">
        <v>1</v>
      </c>
      <c r="L14" s="7">
        <f t="shared" si="2"/>
        <v>110000</v>
      </c>
      <c r="M14" s="8">
        <f t="shared" si="3"/>
        <v>3010000</v>
      </c>
      <c r="N14" s="4">
        <v>2900000</v>
      </c>
    </row>
    <row r="15" spans="5:14" x14ac:dyDescent="0.25">
      <c r="E15" s="3">
        <v>303</v>
      </c>
      <c r="F15" s="7">
        <v>3000000</v>
      </c>
      <c r="G15" s="4">
        <v>7758</v>
      </c>
      <c r="H15" s="4"/>
      <c r="I15" s="4">
        <f t="shared" si="0"/>
        <v>0</v>
      </c>
      <c r="J15" s="7">
        <f t="shared" si="1"/>
        <v>0</v>
      </c>
      <c r="K15" s="4">
        <v>2</v>
      </c>
      <c r="L15" s="7">
        <f t="shared" si="2"/>
        <v>220000</v>
      </c>
      <c r="M15" s="8">
        <f t="shared" si="3"/>
        <v>3220000</v>
      </c>
      <c r="N15" s="4">
        <v>3000000</v>
      </c>
    </row>
    <row r="16" spans="5:14" x14ac:dyDescent="0.25">
      <c r="E16" s="3">
        <v>304</v>
      </c>
      <c r="F16" s="7">
        <v>2900000</v>
      </c>
      <c r="G16" s="4">
        <v>6688</v>
      </c>
      <c r="H16" s="4"/>
      <c r="I16" s="4">
        <f t="shared" si="0"/>
        <v>0</v>
      </c>
      <c r="J16" s="7">
        <f t="shared" si="1"/>
        <v>0</v>
      </c>
      <c r="K16" s="4">
        <v>1</v>
      </c>
      <c r="L16" s="7">
        <f t="shared" si="2"/>
        <v>110000</v>
      </c>
      <c r="M16" s="8">
        <f t="shared" si="3"/>
        <v>3010000</v>
      </c>
      <c r="N16" s="4">
        <v>2500000</v>
      </c>
    </row>
    <row r="17" spans="5:14" x14ac:dyDescent="0.25">
      <c r="E17" s="3">
        <v>401</v>
      </c>
      <c r="F17" s="7">
        <v>3000000</v>
      </c>
      <c r="G17" s="4">
        <v>1763</v>
      </c>
      <c r="H17" s="4"/>
      <c r="I17" s="4">
        <f t="shared" si="0"/>
        <v>0</v>
      </c>
      <c r="J17" s="7">
        <f t="shared" si="1"/>
        <v>0</v>
      </c>
      <c r="K17" s="4">
        <v>2</v>
      </c>
      <c r="L17" s="7">
        <f t="shared" si="2"/>
        <v>220000</v>
      </c>
      <c r="M17" s="8">
        <f t="shared" si="3"/>
        <v>3220000</v>
      </c>
      <c r="N17" s="4">
        <v>2500000</v>
      </c>
    </row>
    <row r="18" spans="5:14" x14ac:dyDescent="0.25">
      <c r="E18" s="3">
        <v>402</v>
      </c>
      <c r="F18" s="7">
        <v>2800000</v>
      </c>
      <c r="G18" s="4">
        <v>5359</v>
      </c>
      <c r="H18" s="4"/>
      <c r="I18" s="4">
        <f t="shared" si="0"/>
        <v>0</v>
      </c>
      <c r="J18" s="7">
        <f t="shared" si="1"/>
        <v>0</v>
      </c>
      <c r="K18" s="4">
        <v>1</v>
      </c>
      <c r="L18" s="7">
        <f t="shared" si="2"/>
        <v>110000</v>
      </c>
      <c r="M18" s="8">
        <f t="shared" si="3"/>
        <v>2910000</v>
      </c>
      <c r="N18" s="4">
        <v>2800000</v>
      </c>
    </row>
    <row r="19" spans="5:14" x14ac:dyDescent="0.25">
      <c r="E19" s="3">
        <v>403</v>
      </c>
      <c r="F19" s="7">
        <v>2900000</v>
      </c>
      <c r="G19" s="4">
        <v>609</v>
      </c>
      <c r="H19" s="4"/>
      <c r="I19" s="4">
        <f t="shared" si="0"/>
        <v>0</v>
      </c>
      <c r="J19" s="7">
        <f t="shared" si="1"/>
        <v>0</v>
      </c>
      <c r="K19" s="4">
        <v>2</v>
      </c>
      <c r="L19" s="7">
        <f t="shared" si="2"/>
        <v>220000</v>
      </c>
      <c r="M19" s="8">
        <f t="shared" si="3"/>
        <v>3120000</v>
      </c>
      <c r="N19" s="4">
        <v>2300000</v>
      </c>
    </row>
    <row r="20" spans="5:14" x14ac:dyDescent="0.25">
      <c r="E20" s="3">
        <v>404</v>
      </c>
      <c r="F20" s="7">
        <v>2900000</v>
      </c>
      <c r="G20" s="4">
        <v>6993</v>
      </c>
      <c r="H20" s="4"/>
      <c r="I20" s="4">
        <f t="shared" si="0"/>
        <v>0</v>
      </c>
      <c r="J20" s="7">
        <f t="shared" si="1"/>
        <v>0</v>
      </c>
      <c r="K20" s="4">
        <v>1</v>
      </c>
      <c r="L20" s="7">
        <f t="shared" si="2"/>
        <v>110000</v>
      </c>
      <c r="M20" s="8">
        <f t="shared" si="3"/>
        <v>3010000</v>
      </c>
      <c r="N20" s="4">
        <v>2300000</v>
      </c>
    </row>
    <row r="21" spans="5:14" x14ac:dyDescent="0.25">
      <c r="E21" s="5" t="s">
        <v>11</v>
      </c>
      <c r="F21" s="6">
        <f>SUM(F7:F20)</f>
        <v>41200000</v>
      </c>
      <c r="G21" s="6">
        <f t="shared" ref="G21:N21" si="4">SUM(G7:G20)</f>
        <v>81444</v>
      </c>
      <c r="H21" s="6">
        <f t="shared" si="4"/>
        <v>3000</v>
      </c>
      <c r="I21" s="6">
        <f t="shared" si="4"/>
        <v>458</v>
      </c>
      <c r="J21" s="6">
        <f t="shared" si="4"/>
        <v>1374000</v>
      </c>
      <c r="K21" s="6">
        <f t="shared" si="4"/>
        <v>20</v>
      </c>
      <c r="L21" s="6">
        <f t="shared" si="4"/>
        <v>2200000</v>
      </c>
      <c r="M21" s="6">
        <f>F21+J21+L21</f>
        <v>44774000</v>
      </c>
      <c r="N21" s="6">
        <f t="shared" si="4"/>
        <v>38300000</v>
      </c>
    </row>
    <row r="22" spans="5:14" x14ac:dyDescent="0.25">
      <c r="E22" s="5" t="s">
        <v>14</v>
      </c>
      <c r="F22" s="6">
        <f>SUM(F7:F20)</f>
        <v>41200000</v>
      </c>
      <c r="G22" s="6">
        <f t="shared" ref="G22:N22" si="5">SUM(G7:G20)</f>
        <v>81444</v>
      </c>
      <c r="H22" s="6">
        <f t="shared" si="5"/>
        <v>3000</v>
      </c>
      <c r="I22" s="6">
        <f t="shared" si="5"/>
        <v>458</v>
      </c>
      <c r="J22" s="6">
        <f t="shared" si="5"/>
        <v>1374000</v>
      </c>
      <c r="K22" s="6">
        <f t="shared" si="5"/>
        <v>20</v>
      </c>
      <c r="L22" s="6">
        <f t="shared" si="5"/>
        <v>2200000</v>
      </c>
      <c r="M22" s="6">
        <f t="shared" si="5"/>
        <v>44774000</v>
      </c>
      <c r="N22" s="6">
        <f t="shared" si="5"/>
        <v>38300000</v>
      </c>
    </row>
  </sheetData>
  <autoFilter ref="E5:M6" xr:uid="{00000000-0001-0000-0000-000000000000}">
    <filterColumn colId="0" showButton="0"/>
    <filterColumn colId="2" showButton="0"/>
    <filterColumn colId="3" showButton="0"/>
    <filterColumn colId="4" showButton="0"/>
    <filterColumn colId="6" showButton="0"/>
  </autoFilter>
  <mergeCells count="6">
    <mergeCell ref="E4:M4"/>
    <mergeCell ref="E5:F5"/>
    <mergeCell ref="G5:J5"/>
    <mergeCell ref="K5:L5"/>
    <mergeCell ref="M5:M6"/>
    <mergeCell ref="N5:N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Quang</dc:creator>
  <cp:lastModifiedBy>Quang Nguyễn</cp:lastModifiedBy>
  <dcterms:created xsi:type="dcterms:W3CDTF">2015-06-05T18:17:20Z</dcterms:created>
  <dcterms:modified xsi:type="dcterms:W3CDTF">2026-06-20T07:19:29Z</dcterms:modified>
</cp:coreProperties>
</file>
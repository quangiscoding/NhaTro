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o\$\thue\"/>
    </mc:Choice>
  </mc:AlternateContent>
  <xr:revisionPtr revIDLastSave="0" documentId="13_ncr:1_{688B1225-27EF-4599-AE08-81776AAA23A4}" xr6:coauthVersionLast="47" xr6:coauthVersionMax="47" xr10:uidLastSave="{00000000-0000-0000-0000-000000000000}"/>
  <bookViews>
    <workbookView xWindow="-120" yWindow="-120" windowWidth="24240" windowHeight="13020" activeTab="6" xr2:uid="{00000000-000D-0000-FFFF-FFFF00000000}"/>
  </bookViews>
  <sheets>
    <sheet name="1a tnt" sheetId="1" r:id="rId1"/>
    <sheet name="Tháng 1" sheetId="9" r:id="rId2"/>
    <sheet name="Tháng 2" sheetId="10" r:id="rId3"/>
    <sheet name="Tháng 3" sheetId="11" r:id="rId4"/>
    <sheet name="Tháng 4" sheetId="12" r:id="rId5"/>
    <sheet name="Tháng 5" sheetId="13" r:id="rId6"/>
    <sheet name="Tháng 6" sheetId="1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8" i="14" l="1"/>
  <c r="D112" i="1"/>
  <c r="D111" i="1"/>
  <c r="D93" i="1"/>
  <c r="D76" i="1"/>
  <c r="D59" i="1"/>
  <c r="D42" i="1"/>
  <c r="D25" i="1"/>
  <c r="D17" i="13"/>
  <c r="D17" i="12"/>
  <c r="D17" i="11"/>
  <c r="D17" i="10"/>
  <c r="D17" i="9"/>
</calcChain>
</file>

<file path=xl/sharedStrings.xml><?xml version="1.0" encoding="utf-8"?>
<sst xmlns="http://schemas.openxmlformats.org/spreadsheetml/2006/main" count="433" uniqueCount="38">
  <si>
    <t>Mã số thuế:..........................</t>
  </si>
  <si>
    <t>SỔ DOANH THU BÁN HÀNG HÓA, DỊCH VỤ</t>
  </si>
  <si>
    <t>STT</t>
  </si>
  <si>
    <t>Ngày tháng</t>
  </si>
  <si>
    <t>Diễn giải</t>
  </si>
  <si>
    <t>Số tiền</t>
  </si>
  <si>
    <t>A</t>
  </si>
  <si>
    <t>B</t>
  </si>
  <si>
    <t>Tổng cộng</t>
  </si>
  <si>
    <t>05/01/2026</t>
  </si>
  <si>
    <t>Thu tiền phòng 103</t>
  </si>
  <si>
    <t>Thu tiền phòng 203</t>
  </si>
  <si>
    <t>Thu tiền phòng 303</t>
  </si>
  <si>
    <t>Thu tiền phòng 403</t>
  </si>
  <si>
    <t>Thu tiền phòng 104</t>
  </si>
  <si>
    <t>Thu tiền phòng 201</t>
  </si>
  <si>
    <t>Thu tiền phòng 202</t>
  </si>
  <si>
    <t>Thu tiền phòng 204</t>
  </si>
  <si>
    <t>Thu tiền phòng 301</t>
  </si>
  <si>
    <t>Thu tiền phòng 302</t>
  </si>
  <si>
    <t>Thu tiền phòng 304</t>
  </si>
  <si>
    <t>Thu tiền phòng 401</t>
  </si>
  <si>
    <t>Thu tiền phòng 402</t>
  </si>
  <si>
    <t>Thu tiền phòng 404</t>
  </si>
  <si>
    <t>Đơn vị tính: VNĐ</t>
  </si>
  <si>
    <t>05/02/2026</t>
  </si>
  <si>
    <t>05/03/2026</t>
  </si>
  <si>
    <t>05/04/2026</t>
  </si>
  <si>
    <t>05/05/2026</t>
  </si>
  <si>
    <t>05/06/2026</t>
  </si>
  <si>
    <t>Mẫu số S1a-HKD
(Kèm theo Thông tư số 152/2025/TT-BTC ngày 31 tháng 12 năm 2025 của Bộ trưởng Bộ Tài chính)</t>
  </si>
  <si>
    <t>HỘ KINH DOANH: LÊ THỊ ĐỢI</t>
  </si>
  <si>
    <t>Địa chỉ: 119 Cồn Dầu 14</t>
  </si>
  <si>
    <t>Thu tiền cho thuê trụ công ty VNPT 2026</t>
  </si>
  <si>
    <t>16/06/2026</t>
  </si>
  <si>
    <t>Địa điểm kinh doanh: 119 Cồn Dầu 14</t>
  </si>
  <si>
    <t>Kỳ kê khai: 01 - 06/2026</t>
  </si>
  <si>
    <t>Tổng 6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</si>
</sst>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2" x14ac:knownFonts="1">
    <font>
      <sz val="14"/>
      <color theme="1"/>
      <name val="Times New Roman"/>
      <family val="2"/>
    </font>
    <font>
      <sz val="8"/>
      <name val="Times New Roman"/>
      <family val="2"/>
    </font>
    <font>
      <i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i/>
      <sz val="14"/>
      <color rgb="FF000000"/>
      <name val="Times New Roman"/>
      <family val="1"/>
    </font>
    <font>
      <sz val="14"/>
      <color rgb="FF222222"/>
      <name val="Times New Roman"/>
      <family val="1"/>
    </font>
    <font>
      <b/>
      <sz val="14"/>
      <color theme="1"/>
      <name val="Times New Roman"/>
      <family val="1"/>
    </font>
    <font>
      <b/>
      <sz val="14"/>
      <color rgb="FF222222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1" fontId="7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41" fontId="9" fillId="3" borderId="1" xfId="0" applyNumberFormat="1" applyFont="1" applyFill="1" applyBorder="1" applyAlignment="1">
      <alignment horizontal="center" vertical="center"/>
    </xf>
    <xf numFmtId="41" fontId="10" fillId="4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2"/>
  <sheetViews>
    <sheetView topLeftCell="A93" zoomScale="93" zoomScaleNormal="145" workbookViewId="0">
      <selection activeCell="A110" sqref="A110:D110"/>
    </sheetView>
  </sheetViews>
  <sheetFormatPr defaultRowHeight="18.75" x14ac:dyDescent="0.3"/>
  <cols>
    <col min="1" max="1" width="7.109375" style="14" customWidth="1"/>
    <col min="2" max="2" width="12.77734375" style="14" customWidth="1"/>
    <col min="3" max="3" width="59.5546875" style="14" customWidth="1"/>
    <col min="4" max="4" width="17.88671875" style="14" bestFit="1" customWidth="1"/>
    <col min="5" max="6" width="8.88671875" style="14"/>
    <col min="7" max="8" width="12" style="14" customWidth="1"/>
    <col min="9" max="16384" width="8.88671875" style="14"/>
  </cols>
  <sheetData>
    <row r="1" spans="1:10" ht="18.75" customHeight="1" x14ac:dyDescent="0.3">
      <c r="A1" s="23" t="s">
        <v>31</v>
      </c>
      <c r="B1" s="23"/>
      <c r="C1" s="23"/>
      <c r="D1" s="8"/>
    </row>
    <row r="2" spans="1:10" x14ac:dyDescent="0.3">
      <c r="A2" s="20" t="s">
        <v>32</v>
      </c>
      <c r="B2" s="20"/>
      <c r="C2" s="20"/>
      <c r="D2" s="25" t="s">
        <v>30</v>
      </c>
    </row>
    <row r="3" spans="1:10" x14ac:dyDescent="0.3">
      <c r="A3" s="24" t="s">
        <v>0</v>
      </c>
      <c r="B3" s="24"/>
      <c r="C3" s="8"/>
      <c r="D3" s="26"/>
    </row>
    <row r="4" spans="1:10" x14ac:dyDescent="0.3">
      <c r="A4" s="9"/>
    </row>
    <row r="5" spans="1:10" x14ac:dyDescent="0.3">
      <c r="A5" s="27" t="s">
        <v>1</v>
      </c>
      <c r="B5" s="27"/>
      <c r="C5" s="27"/>
      <c r="D5" s="27"/>
      <c r="E5" s="10"/>
    </row>
    <row r="6" spans="1:10" x14ac:dyDescent="0.3">
      <c r="A6" s="22" t="s">
        <v>35</v>
      </c>
      <c r="B6" s="22"/>
      <c r="C6" s="22"/>
      <c r="D6" s="22"/>
      <c r="E6" s="13"/>
    </row>
    <row r="7" spans="1:10" x14ac:dyDescent="0.3">
      <c r="A7" s="22" t="s">
        <v>36</v>
      </c>
      <c r="B7" s="22"/>
      <c r="C7" s="22"/>
      <c r="D7" s="22"/>
      <c r="E7" s="13"/>
    </row>
    <row r="8" spans="1:10" x14ac:dyDescent="0.3">
      <c r="A8" s="1"/>
      <c r="B8" s="1"/>
      <c r="C8" s="1"/>
      <c r="D8" s="2" t="s">
        <v>24</v>
      </c>
    </row>
    <row r="9" spans="1:10" s="15" customFormat="1" x14ac:dyDescent="0.3">
      <c r="A9" s="11" t="s">
        <v>2</v>
      </c>
      <c r="B9" s="11" t="s">
        <v>3</v>
      </c>
      <c r="C9" s="11" t="s">
        <v>4</v>
      </c>
      <c r="D9" s="11" t="s">
        <v>5</v>
      </c>
      <c r="F9" s="14"/>
      <c r="G9" s="14"/>
      <c r="H9" s="14"/>
      <c r="I9" s="14"/>
      <c r="J9" s="14"/>
    </row>
    <row r="10" spans="1:10" x14ac:dyDescent="0.3">
      <c r="A10" s="4"/>
      <c r="B10" s="4" t="s">
        <v>6</v>
      </c>
      <c r="C10" s="4" t="s">
        <v>7</v>
      </c>
      <c r="D10" s="4">
        <v>1</v>
      </c>
    </row>
    <row r="11" spans="1:10" x14ac:dyDescent="0.3">
      <c r="A11" s="5">
        <v>1</v>
      </c>
      <c r="B11" s="5" t="s">
        <v>9</v>
      </c>
      <c r="C11" s="5" t="s">
        <v>10</v>
      </c>
      <c r="D11" s="6">
        <v>3342500</v>
      </c>
    </row>
    <row r="12" spans="1:10" x14ac:dyDescent="0.3">
      <c r="A12" s="5">
        <v>2</v>
      </c>
      <c r="B12" s="5" t="s">
        <v>9</v>
      </c>
      <c r="C12" s="5" t="s">
        <v>14</v>
      </c>
      <c r="D12" s="6">
        <v>3558000</v>
      </c>
    </row>
    <row r="13" spans="1:10" x14ac:dyDescent="0.3">
      <c r="A13" s="5">
        <v>3</v>
      </c>
      <c r="B13" s="5" t="s">
        <v>9</v>
      </c>
      <c r="C13" s="5" t="s">
        <v>15</v>
      </c>
      <c r="D13" s="6">
        <v>3394000</v>
      </c>
    </row>
    <row r="14" spans="1:10" x14ac:dyDescent="0.3">
      <c r="A14" s="5">
        <v>4</v>
      </c>
      <c r="B14" s="5" t="s">
        <v>9</v>
      </c>
      <c r="C14" s="5" t="s">
        <v>16</v>
      </c>
      <c r="D14" s="6">
        <v>2813000</v>
      </c>
    </row>
    <row r="15" spans="1:10" x14ac:dyDescent="0.3">
      <c r="A15" s="5">
        <v>5</v>
      </c>
      <c r="B15" s="5" t="s">
        <v>9</v>
      </c>
      <c r="C15" s="5" t="s">
        <v>11</v>
      </c>
      <c r="D15" s="6">
        <v>3071000</v>
      </c>
    </row>
    <row r="16" spans="1:10" x14ac:dyDescent="0.3">
      <c r="A16" s="5">
        <v>6</v>
      </c>
      <c r="B16" s="5" t="s">
        <v>9</v>
      </c>
      <c r="C16" s="5" t="s">
        <v>17</v>
      </c>
      <c r="D16" s="6">
        <v>4182000</v>
      </c>
    </row>
    <row r="17" spans="1:10" x14ac:dyDescent="0.3">
      <c r="A17" s="5">
        <v>7</v>
      </c>
      <c r="B17" s="5" t="s">
        <v>9</v>
      </c>
      <c r="C17" s="5" t="s">
        <v>18</v>
      </c>
      <c r="D17" s="6">
        <v>3053000</v>
      </c>
    </row>
    <row r="18" spans="1:10" x14ac:dyDescent="0.3">
      <c r="A18" s="5">
        <v>8</v>
      </c>
      <c r="B18" s="5" t="s">
        <v>9</v>
      </c>
      <c r="C18" s="5" t="s">
        <v>19</v>
      </c>
      <c r="D18" s="6">
        <v>3118000</v>
      </c>
    </row>
    <row r="19" spans="1:10" x14ac:dyDescent="0.3">
      <c r="A19" s="5">
        <v>9</v>
      </c>
      <c r="B19" s="5" t="s">
        <v>9</v>
      </c>
      <c r="C19" s="5" t="s">
        <v>12</v>
      </c>
      <c r="D19" s="6">
        <v>3559000</v>
      </c>
    </row>
    <row r="20" spans="1:10" x14ac:dyDescent="0.3">
      <c r="A20" s="5">
        <v>10</v>
      </c>
      <c r="B20" s="5" t="s">
        <v>9</v>
      </c>
      <c r="C20" s="5" t="s">
        <v>20</v>
      </c>
      <c r="D20" s="6">
        <v>3051500</v>
      </c>
    </row>
    <row r="21" spans="1:10" x14ac:dyDescent="0.3">
      <c r="A21" s="5">
        <v>11</v>
      </c>
      <c r="B21" s="5" t="s">
        <v>9</v>
      </c>
      <c r="C21" s="5" t="s">
        <v>21</v>
      </c>
      <c r="D21" s="6">
        <v>3656500</v>
      </c>
    </row>
    <row r="22" spans="1:10" x14ac:dyDescent="0.3">
      <c r="A22" s="5">
        <v>12</v>
      </c>
      <c r="B22" s="5" t="s">
        <v>9</v>
      </c>
      <c r="C22" s="5" t="s">
        <v>22</v>
      </c>
      <c r="D22" s="6">
        <v>2948000</v>
      </c>
    </row>
    <row r="23" spans="1:10" x14ac:dyDescent="0.3">
      <c r="A23" s="5">
        <v>13</v>
      </c>
      <c r="B23" s="5" t="s">
        <v>9</v>
      </c>
      <c r="C23" s="5" t="s">
        <v>13</v>
      </c>
      <c r="D23" s="6">
        <v>3454500</v>
      </c>
    </row>
    <row r="24" spans="1:10" x14ac:dyDescent="0.3">
      <c r="A24" s="5">
        <v>14</v>
      </c>
      <c r="B24" s="5" t="s">
        <v>9</v>
      </c>
      <c r="C24" s="5" t="s">
        <v>23</v>
      </c>
      <c r="D24" s="6">
        <v>3477500</v>
      </c>
    </row>
    <row r="25" spans="1:10" x14ac:dyDescent="0.3">
      <c r="A25" s="16"/>
      <c r="B25" s="16"/>
      <c r="C25" s="16" t="s">
        <v>8</v>
      </c>
      <c r="D25" s="17">
        <f>SUM(D11:D24)</f>
        <v>46678500</v>
      </c>
    </row>
    <row r="26" spans="1:10" s="15" customFormat="1" x14ac:dyDescent="0.3">
      <c r="A26" s="11" t="s">
        <v>2</v>
      </c>
      <c r="B26" s="11" t="s">
        <v>3</v>
      </c>
      <c r="C26" s="11" t="s">
        <v>4</v>
      </c>
      <c r="D26" s="11" t="s">
        <v>5</v>
      </c>
      <c r="F26" s="14"/>
      <c r="G26" s="14"/>
      <c r="H26" s="14"/>
      <c r="I26" s="14"/>
      <c r="J26" s="14"/>
    </row>
    <row r="27" spans="1:10" x14ac:dyDescent="0.3">
      <c r="A27" s="4"/>
      <c r="B27" s="4" t="s">
        <v>6</v>
      </c>
      <c r="C27" s="4" t="s">
        <v>7</v>
      </c>
      <c r="D27" s="4">
        <v>1</v>
      </c>
    </row>
    <row r="28" spans="1:10" x14ac:dyDescent="0.3">
      <c r="A28" s="5">
        <v>1</v>
      </c>
      <c r="B28" s="5" t="s">
        <v>25</v>
      </c>
      <c r="C28" s="5" t="s">
        <v>10</v>
      </c>
      <c r="D28" s="12">
        <v>3067000</v>
      </c>
    </row>
    <row r="29" spans="1:10" x14ac:dyDescent="0.3">
      <c r="A29" s="5">
        <v>2</v>
      </c>
      <c r="B29" s="5" t="s">
        <v>25</v>
      </c>
      <c r="C29" s="5" t="s">
        <v>14</v>
      </c>
      <c r="D29" s="12">
        <v>3526500</v>
      </c>
    </row>
    <row r="30" spans="1:10" x14ac:dyDescent="0.3">
      <c r="A30" s="5">
        <v>3</v>
      </c>
      <c r="B30" s="5" t="s">
        <v>25</v>
      </c>
      <c r="C30" s="5" t="s">
        <v>15</v>
      </c>
      <c r="D30" s="12">
        <v>3376500</v>
      </c>
    </row>
    <row r="31" spans="1:10" x14ac:dyDescent="0.3">
      <c r="A31" s="5">
        <v>4</v>
      </c>
      <c r="B31" s="5" t="s">
        <v>25</v>
      </c>
      <c r="C31" s="5" t="s">
        <v>16</v>
      </c>
      <c r="D31" s="12">
        <v>2900000</v>
      </c>
    </row>
    <row r="32" spans="1:10" x14ac:dyDescent="0.3">
      <c r="A32" s="5">
        <v>5</v>
      </c>
      <c r="B32" s="5" t="s">
        <v>25</v>
      </c>
      <c r="C32" s="5" t="s">
        <v>11</v>
      </c>
      <c r="D32" s="12">
        <v>3064000</v>
      </c>
    </row>
    <row r="33" spans="1:4" x14ac:dyDescent="0.3">
      <c r="A33" s="5">
        <v>6</v>
      </c>
      <c r="B33" s="5" t="s">
        <v>25</v>
      </c>
      <c r="C33" s="5" t="s">
        <v>17</v>
      </c>
      <c r="D33" s="12">
        <v>4105000</v>
      </c>
    </row>
    <row r="34" spans="1:4" x14ac:dyDescent="0.3">
      <c r="A34" s="5">
        <v>7</v>
      </c>
      <c r="B34" s="5" t="s">
        <v>25</v>
      </c>
      <c r="C34" s="5" t="s">
        <v>18</v>
      </c>
      <c r="D34" s="12">
        <v>3032000</v>
      </c>
    </row>
    <row r="35" spans="1:4" x14ac:dyDescent="0.3">
      <c r="A35" s="5">
        <v>8</v>
      </c>
      <c r="B35" s="5" t="s">
        <v>25</v>
      </c>
      <c r="C35" s="5" t="s">
        <v>19</v>
      </c>
      <c r="D35" s="12">
        <v>3020000</v>
      </c>
    </row>
    <row r="36" spans="1:4" x14ac:dyDescent="0.3">
      <c r="A36" s="5">
        <v>9</v>
      </c>
      <c r="B36" s="5" t="s">
        <v>25</v>
      </c>
      <c r="C36" s="5" t="s">
        <v>12</v>
      </c>
      <c r="D36" s="12">
        <v>3285500</v>
      </c>
    </row>
    <row r="37" spans="1:4" x14ac:dyDescent="0.3">
      <c r="A37" s="5">
        <v>10</v>
      </c>
      <c r="B37" s="5" t="s">
        <v>25</v>
      </c>
      <c r="C37" s="5" t="s">
        <v>20</v>
      </c>
      <c r="D37" s="12">
        <v>3041000</v>
      </c>
    </row>
    <row r="38" spans="1:4" x14ac:dyDescent="0.3">
      <c r="A38" s="5">
        <v>11</v>
      </c>
      <c r="B38" s="5" t="s">
        <v>25</v>
      </c>
      <c r="C38" s="5" t="s">
        <v>21</v>
      </c>
      <c r="D38" s="12">
        <v>3593500</v>
      </c>
    </row>
    <row r="39" spans="1:4" x14ac:dyDescent="0.3">
      <c r="A39" s="5">
        <v>12</v>
      </c>
      <c r="B39" s="5" t="s">
        <v>25</v>
      </c>
      <c r="C39" s="5" t="s">
        <v>22</v>
      </c>
      <c r="D39" s="12">
        <v>2969000</v>
      </c>
    </row>
    <row r="40" spans="1:4" x14ac:dyDescent="0.3">
      <c r="A40" s="5">
        <v>13</v>
      </c>
      <c r="B40" s="5" t="s">
        <v>25</v>
      </c>
      <c r="C40" s="5" t="s">
        <v>13</v>
      </c>
      <c r="D40" s="12">
        <v>3447500</v>
      </c>
    </row>
    <row r="41" spans="1:4" x14ac:dyDescent="0.3">
      <c r="A41" s="5">
        <v>14</v>
      </c>
      <c r="B41" s="5" t="s">
        <v>25</v>
      </c>
      <c r="C41" s="5" t="s">
        <v>23</v>
      </c>
      <c r="D41" s="12">
        <v>3023500</v>
      </c>
    </row>
    <row r="42" spans="1:4" x14ac:dyDescent="0.3">
      <c r="A42" s="16"/>
      <c r="B42" s="16"/>
      <c r="C42" s="16" t="s">
        <v>8</v>
      </c>
      <c r="D42" s="17">
        <f>SUM(D28:D41)</f>
        <v>45451000</v>
      </c>
    </row>
    <row r="43" spans="1:4" s="15" customFormat="1" x14ac:dyDescent="0.3">
      <c r="A43" s="11" t="s">
        <v>2</v>
      </c>
      <c r="B43" s="11" t="s">
        <v>3</v>
      </c>
      <c r="C43" s="11" t="s">
        <v>4</v>
      </c>
      <c r="D43" s="11" t="s">
        <v>5</v>
      </c>
    </row>
    <row r="44" spans="1:4" x14ac:dyDescent="0.3">
      <c r="A44" s="4"/>
      <c r="B44" s="4" t="s">
        <v>6</v>
      </c>
      <c r="C44" s="4" t="s">
        <v>7</v>
      </c>
      <c r="D44" s="4">
        <v>1</v>
      </c>
    </row>
    <row r="45" spans="1:4" x14ac:dyDescent="0.3">
      <c r="A45" s="5">
        <v>1</v>
      </c>
      <c r="B45" s="5" t="s">
        <v>26</v>
      </c>
      <c r="C45" s="5" t="s">
        <v>10</v>
      </c>
      <c r="D45" s="12">
        <v>2920000</v>
      </c>
    </row>
    <row r="46" spans="1:4" x14ac:dyDescent="0.3">
      <c r="A46" s="5">
        <v>2</v>
      </c>
      <c r="B46" s="5" t="s">
        <v>26</v>
      </c>
      <c r="C46" s="5" t="s">
        <v>14</v>
      </c>
      <c r="D46" s="12">
        <v>3446000</v>
      </c>
    </row>
    <row r="47" spans="1:4" x14ac:dyDescent="0.3">
      <c r="A47" s="5">
        <v>3</v>
      </c>
      <c r="B47" s="5" t="s">
        <v>26</v>
      </c>
      <c r="C47" s="5" t="s">
        <v>15</v>
      </c>
      <c r="D47" s="12">
        <v>3187500</v>
      </c>
    </row>
    <row r="48" spans="1:4" x14ac:dyDescent="0.3">
      <c r="A48" s="5">
        <v>4</v>
      </c>
      <c r="B48" s="5" t="s">
        <v>26</v>
      </c>
      <c r="C48" s="5" t="s">
        <v>16</v>
      </c>
      <c r="D48" s="12">
        <v>2973500</v>
      </c>
    </row>
    <row r="49" spans="1:4" x14ac:dyDescent="0.3">
      <c r="A49" s="5">
        <v>5</v>
      </c>
      <c r="B49" s="5" t="s">
        <v>26</v>
      </c>
      <c r="C49" s="5" t="s">
        <v>11</v>
      </c>
      <c r="D49" s="12">
        <v>3071000</v>
      </c>
    </row>
    <row r="50" spans="1:4" x14ac:dyDescent="0.3">
      <c r="A50" s="5">
        <v>6</v>
      </c>
      <c r="B50" s="5" t="s">
        <v>26</v>
      </c>
      <c r="C50" s="5" t="s">
        <v>17</v>
      </c>
      <c r="D50" s="12">
        <v>3734000</v>
      </c>
    </row>
    <row r="51" spans="1:4" x14ac:dyDescent="0.3">
      <c r="A51" s="5">
        <v>7</v>
      </c>
      <c r="B51" s="5" t="s">
        <v>26</v>
      </c>
      <c r="C51" s="5" t="s">
        <v>18</v>
      </c>
      <c r="D51" s="12">
        <v>2997000</v>
      </c>
    </row>
    <row r="52" spans="1:4" x14ac:dyDescent="0.3">
      <c r="A52" s="5">
        <v>8</v>
      </c>
      <c r="B52" s="5" t="s">
        <v>26</v>
      </c>
      <c r="C52" s="5" t="s">
        <v>19</v>
      </c>
      <c r="D52" s="12">
        <v>2964000</v>
      </c>
    </row>
    <row r="53" spans="1:4" x14ac:dyDescent="0.3">
      <c r="A53" s="5">
        <v>9</v>
      </c>
      <c r="B53" s="5" t="s">
        <v>26</v>
      </c>
      <c r="C53" s="5" t="s">
        <v>12</v>
      </c>
      <c r="D53" s="12">
        <v>3292500</v>
      </c>
    </row>
    <row r="54" spans="1:4" x14ac:dyDescent="0.3">
      <c r="A54" s="5">
        <v>10</v>
      </c>
      <c r="B54" s="5" t="s">
        <v>26</v>
      </c>
      <c r="C54" s="5" t="s">
        <v>20</v>
      </c>
      <c r="D54" s="12">
        <v>3027000</v>
      </c>
    </row>
    <row r="55" spans="1:4" x14ac:dyDescent="0.3">
      <c r="A55" s="5">
        <v>11</v>
      </c>
      <c r="B55" s="5" t="s">
        <v>26</v>
      </c>
      <c r="C55" s="5" t="s">
        <v>21</v>
      </c>
      <c r="D55" s="12">
        <v>3688000</v>
      </c>
    </row>
    <row r="56" spans="1:4" x14ac:dyDescent="0.3">
      <c r="A56" s="5">
        <v>12</v>
      </c>
      <c r="B56" s="5" t="s">
        <v>26</v>
      </c>
      <c r="C56" s="5" t="s">
        <v>22</v>
      </c>
      <c r="D56" s="12">
        <v>2927000</v>
      </c>
    </row>
    <row r="57" spans="1:4" x14ac:dyDescent="0.3">
      <c r="A57" s="5">
        <v>13</v>
      </c>
      <c r="B57" s="5" t="s">
        <v>26</v>
      </c>
      <c r="C57" s="5" t="s">
        <v>13</v>
      </c>
      <c r="D57" s="12">
        <v>3283000</v>
      </c>
    </row>
    <row r="58" spans="1:4" x14ac:dyDescent="0.3">
      <c r="A58" s="5">
        <v>14</v>
      </c>
      <c r="B58" s="5" t="s">
        <v>26</v>
      </c>
      <c r="C58" s="5" t="s">
        <v>23</v>
      </c>
      <c r="D58" s="12">
        <v>3065500</v>
      </c>
    </row>
    <row r="59" spans="1:4" x14ac:dyDescent="0.3">
      <c r="A59" s="16"/>
      <c r="B59" s="16"/>
      <c r="C59" s="16" t="s">
        <v>8</v>
      </c>
      <c r="D59" s="17">
        <f>SUM(D45:D58)</f>
        <v>44576000</v>
      </c>
    </row>
    <row r="60" spans="1:4" s="15" customFormat="1" x14ac:dyDescent="0.3">
      <c r="A60" s="11" t="s">
        <v>2</v>
      </c>
      <c r="B60" s="11" t="s">
        <v>3</v>
      </c>
      <c r="C60" s="11" t="s">
        <v>4</v>
      </c>
      <c r="D60" s="11" t="s">
        <v>5</v>
      </c>
    </row>
    <row r="61" spans="1:4" x14ac:dyDescent="0.3">
      <c r="A61" s="4"/>
      <c r="B61" s="4" t="s">
        <v>6</v>
      </c>
      <c r="C61" s="4" t="s">
        <v>7</v>
      </c>
      <c r="D61" s="4">
        <v>1</v>
      </c>
    </row>
    <row r="62" spans="1:4" x14ac:dyDescent="0.3">
      <c r="A62" s="5">
        <v>1</v>
      </c>
      <c r="B62" s="5" t="s">
        <v>27</v>
      </c>
      <c r="C62" s="5" t="s">
        <v>10</v>
      </c>
      <c r="D62" s="12">
        <v>3109000</v>
      </c>
    </row>
    <row r="63" spans="1:4" x14ac:dyDescent="0.3">
      <c r="A63" s="5">
        <v>2</v>
      </c>
      <c r="B63" s="5" t="s">
        <v>27</v>
      </c>
      <c r="C63" s="5" t="s">
        <v>14</v>
      </c>
      <c r="D63" s="12">
        <v>3614000</v>
      </c>
    </row>
    <row r="64" spans="1:4" x14ac:dyDescent="0.3">
      <c r="A64" s="5">
        <v>3</v>
      </c>
      <c r="B64" s="5" t="s">
        <v>27</v>
      </c>
      <c r="C64" s="5" t="s">
        <v>15</v>
      </c>
      <c r="D64" s="12">
        <v>3443000</v>
      </c>
    </row>
    <row r="65" spans="1:4" x14ac:dyDescent="0.3">
      <c r="A65" s="5">
        <v>4</v>
      </c>
      <c r="B65" s="5" t="s">
        <v>27</v>
      </c>
      <c r="C65" s="5" t="s">
        <v>16</v>
      </c>
      <c r="D65" s="12">
        <v>3075000</v>
      </c>
    </row>
    <row r="66" spans="1:4" x14ac:dyDescent="0.3">
      <c r="A66" s="5">
        <v>5</v>
      </c>
      <c r="B66" s="5" t="s">
        <v>27</v>
      </c>
      <c r="C66" s="5" t="s">
        <v>11</v>
      </c>
      <c r="D66" s="12">
        <v>3127000</v>
      </c>
    </row>
    <row r="67" spans="1:4" x14ac:dyDescent="0.3">
      <c r="A67" s="5">
        <v>6</v>
      </c>
      <c r="B67" s="5" t="s">
        <v>27</v>
      </c>
      <c r="C67" s="5" t="s">
        <v>17</v>
      </c>
      <c r="D67" s="12">
        <v>4266000</v>
      </c>
    </row>
    <row r="68" spans="1:4" x14ac:dyDescent="0.3">
      <c r="A68" s="5">
        <v>7</v>
      </c>
      <c r="B68" s="5" t="s">
        <v>27</v>
      </c>
      <c r="C68" s="5" t="s">
        <v>18</v>
      </c>
      <c r="D68" s="12">
        <v>3046000</v>
      </c>
    </row>
    <row r="69" spans="1:4" x14ac:dyDescent="0.3">
      <c r="A69" s="5">
        <v>8</v>
      </c>
      <c r="B69" s="5" t="s">
        <v>27</v>
      </c>
      <c r="C69" s="5" t="s">
        <v>19</v>
      </c>
      <c r="D69" s="12">
        <v>3065500</v>
      </c>
    </row>
    <row r="70" spans="1:4" x14ac:dyDescent="0.3">
      <c r="A70" s="5">
        <v>9</v>
      </c>
      <c r="B70" s="5" t="s">
        <v>27</v>
      </c>
      <c r="C70" s="5" t="s">
        <v>12</v>
      </c>
      <c r="D70" s="12">
        <v>3394000</v>
      </c>
    </row>
    <row r="71" spans="1:4" x14ac:dyDescent="0.3">
      <c r="A71" s="5">
        <v>10</v>
      </c>
      <c r="B71" s="5" t="s">
        <v>27</v>
      </c>
      <c r="C71" s="5" t="s">
        <v>20</v>
      </c>
      <c r="D71" s="12">
        <v>3135500</v>
      </c>
    </row>
    <row r="72" spans="1:4" x14ac:dyDescent="0.3">
      <c r="A72" s="5">
        <v>11</v>
      </c>
      <c r="B72" s="5" t="s">
        <v>27</v>
      </c>
      <c r="C72" s="5" t="s">
        <v>21</v>
      </c>
      <c r="D72" s="12">
        <v>4013500</v>
      </c>
    </row>
    <row r="73" spans="1:4" x14ac:dyDescent="0.3">
      <c r="A73" s="5">
        <v>12</v>
      </c>
      <c r="B73" s="5" t="s">
        <v>27</v>
      </c>
      <c r="C73" s="5" t="s">
        <v>22</v>
      </c>
      <c r="D73" s="12">
        <v>2990000</v>
      </c>
    </row>
    <row r="74" spans="1:4" x14ac:dyDescent="0.3">
      <c r="A74" s="5">
        <v>13</v>
      </c>
      <c r="B74" s="5" t="s">
        <v>27</v>
      </c>
      <c r="C74" s="5" t="s">
        <v>13</v>
      </c>
      <c r="D74" s="12">
        <v>3269500</v>
      </c>
    </row>
    <row r="75" spans="1:4" x14ac:dyDescent="0.3">
      <c r="A75" s="5">
        <v>14</v>
      </c>
      <c r="B75" s="5" t="s">
        <v>27</v>
      </c>
      <c r="C75" s="5" t="s">
        <v>23</v>
      </c>
      <c r="D75" s="12">
        <v>3156500</v>
      </c>
    </row>
    <row r="76" spans="1:4" x14ac:dyDescent="0.3">
      <c r="A76" s="16"/>
      <c r="B76" s="16"/>
      <c r="C76" s="16" t="s">
        <v>8</v>
      </c>
      <c r="D76" s="17">
        <f>SUM(D62:D75)</f>
        <v>46704500</v>
      </c>
    </row>
    <row r="77" spans="1:4" s="15" customFormat="1" x14ac:dyDescent="0.3">
      <c r="A77" s="11" t="s">
        <v>2</v>
      </c>
      <c r="B77" s="11" t="s">
        <v>3</v>
      </c>
      <c r="C77" s="11" t="s">
        <v>4</v>
      </c>
      <c r="D77" s="11" t="s">
        <v>5</v>
      </c>
    </row>
    <row r="78" spans="1:4" x14ac:dyDescent="0.3">
      <c r="A78" s="4"/>
      <c r="B78" s="4" t="s">
        <v>6</v>
      </c>
      <c r="C78" s="4" t="s">
        <v>7</v>
      </c>
      <c r="D78" s="4">
        <v>1</v>
      </c>
    </row>
    <row r="79" spans="1:4" x14ac:dyDescent="0.3">
      <c r="A79" s="5">
        <v>1</v>
      </c>
      <c r="B79" s="5" t="s">
        <v>28</v>
      </c>
      <c r="C79" s="5" t="s">
        <v>10</v>
      </c>
      <c r="D79" s="12">
        <v>3179000</v>
      </c>
    </row>
    <row r="80" spans="1:4" x14ac:dyDescent="0.3">
      <c r="A80" s="5">
        <v>2</v>
      </c>
      <c r="B80" s="5" t="s">
        <v>28</v>
      </c>
      <c r="C80" s="5" t="s">
        <v>14</v>
      </c>
      <c r="D80" s="12">
        <v>3645500</v>
      </c>
    </row>
    <row r="81" spans="1:4" x14ac:dyDescent="0.3">
      <c r="A81" s="5">
        <v>3</v>
      </c>
      <c r="B81" s="5" t="s">
        <v>28</v>
      </c>
      <c r="C81" s="5" t="s">
        <v>15</v>
      </c>
      <c r="D81" s="12">
        <v>3446500</v>
      </c>
    </row>
    <row r="82" spans="1:4" x14ac:dyDescent="0.3">
      <c r="A82" s="5">
        <v>4</v>
      </c>
      <c r="B82" s="5" t="s">
        <v>28</v>
      </c>
      <c r="C82" s="5" t="s">
        <v>16</v>
      </c>
      <c r="D82" s="12">
        <v>3278000</v>
      </c>
    </row>
    <row r="83" spans="1:4" x14ac:dyDescent="0.3">
      <c r="A83" s="5">
        <v>5</v>
      </c>
      <c r="B83" s="5" t="s">
        <v>28</v>
      </c>
      <c r="C83" s="5" t="s">
        <v>11</v>
      </c>
      <c r="D83" s="12">
        <v>3256500</v>
      </c>
    </row>
    <row r="84" spans="1:4" x14ac:dyDescent="0.3">
      <c r="A84" s="5">
        <v>6</v>
      </c>
      <c r="B84" s="5" t="s">
        <v>28</v>
      </c>
      <c r="C84" s="5" t="s">
        <v>17</v>
      </c>
      <c r="D84" s="12">
        <v>4518000</v>
      </c>
    </row>
    <row r="85" spans="1:4" x14ac:dyDescent="0.3">
      <c r="A85" s="5">
        <v>7</v>
      </c>
      <c r="B85" s="5" t="s">
        <v>28</v>
      </c>
      <c r="C85" s="5" t="s">
        <v>18</v>
      </c>
      <c r="D85" s="12">
        <v>3249000</v>
      </c>
    </row>
    <row r="86" spans="1:4" x14ac:dyDescent="0.3">
      <c r="A86" s="5">
        <v>8</v>
      </c>
      <c r="B86" s="5" t="s">
        <v>28</v>
      </c>
      <c r="C86" s="5" t="s">
        <v>19</v>
      </c>
      <c r="D86" s="12">
        <v>3146000</v>
      </c>
    </row>
    <row r="87" spans="1:4" x14ac:dyDescent="0.3">
      <c r="A87" s="5">
        <v>9</v>
      </c>
      <c r="B87" s="5" t="s">
        <v>28</v>
      </c>
      <c r="C87" s="5" t="s">
        <v>12</v>
      </c>
      <c r="D87" s="12">
        <v>3677500</v>
      </c>
    </row>
    <row r="88" spans="1:4" x14ac:dyDescent="0.3">
      <c r="A88" s="5">
        <v>10</v>
      </c>
      <c r="B88" s="5" t="s">
        <v>28</v>
      </c>
      <c r="C88" s="5" t="s">
        <v>20</v>
      </c>
      <c r="D88" s="12">
        <v>3090000</v>
      </c>
    </row>
    <row r="89" spans="1:4" x14ac:dyDescent="0.3">
      <c r="A89" s="5">
        <v>11</v>
      </c>
      <c r="B89" s="5" t="s">
        <v>28</v>
      </c>
      <c r="C89" s="5" t="s">
        <v>21</v>
      </c>
      <c r="D89" s="12">
        <v>4321500</v>
      </c>
    </row>
    <row r="90" spans="1:4" x14ac:dyDescent="0.3">
      <c r="A90" s="5">
        <v>12</v>
      </c>
      <c r="B90" s="5" t="s">
        <v>28</v>
      </c>
      <c r="C90" s="5" t="s">
        <v>22</v>
      </c>
      <c r="D90" s="12">
        <v>3053000</v>
      </c>
    </row>
    <row r="91" spans="1:4" x14ac:dyDescent="0.3">
      <c r="A91" s="5">
        <v>13</v>
      </c>
      <c r="B91" s="5" t="s">
        <v>28</v>
      </c>
      <c r="C91" s="5" t="s">
        <v>13</v>
      </c>
      <c r="D91" s="12">
        <v>3325500</v>
      </c>
    </row>
    <row r="92" spans="1:4" x14ac:dyDescent="0.3">
      <c r="A92" s="5">
        <v>14</v>
      </c>
      <c r="B92" s="5" t="s">
        <v>28</v>
      </c>
      <c r="C92" s="5" t="s">
        <v>23</v>
      </c>
      <c r="D92" s="12">
        <v>3083000</v>
      </c>
    </row>
    <row r="93" spans="1:4" x14ac:dyDescent="0.3">
      <c r="A93" s="16"/>
      <c r="B93" s="16"/>
      <c r="C93" s="16" t="s">
        <v>8</v>
      </c>
      <c r="D93" s="17">
        <f>SUM(D79:D92)</f>
        <v>48269000</v>
      </c>
    </row>
    <row r="94" spans="1:4" x14ac:dyDescent="0.3">
      <c r="A94" s="11" t="s">
        <v>2</v>
      </c>
      <c r="B94" s="11" t="s">
        <v>3</v>
      </c>
      <c r="C94" s="11" t="s">
        <v>4</v>
      </c>
      <c r="D94" s="11" t="s">
        <v>5</v>
      </c>
    </row>
    <row r="95" spans="1:4" x14ac:dyDescent="0.3">
      <c r="A95" s="4"/>
      <c r="B95" s="4" t="s">
        <v>6</v>
      </c>
      <c r="C95" s="4" t="s">
        <v>7</v>
      </c>
      <c r="D95" s="4">
        <v>1</v>
      </c>
    </row>
    <row r="96" spans="1:4" x14ac:dyDescent="0.3">
      <c r="A96" s="5">
        <v>1</v>
      </c>
      <c r="B96" s="5" t="s">
        <v>29</v>
      </c>
      <c r="C96" s="5" t="s">
        <v>10</v>
      </c>
      <c r="D96" s="12">
        <v>3207000</v>
      </c>
    </row>
    <row r="97" spans="1:4" x14ac:dyDescent="0.3">
      <c r="A97" s="5">
        <v>2</v>
      </c>
      <c r="B97" s="5" t="s">
        <v>29</v>
      </c>
      <c r="C97" s="5" t="s">
        <v>14</v>
      </c>
      <c r="D97" s="12">
        <v>3757000</v>
      </c>
    </row>
    <row r="98" spans="1:4" x14ac:dyDescent="0.3">
      <c r="A98" s="5">
        <v>3</v>
      </c>
      <c r="B98" s="5" t="s">
        <v>29</v>
      </c>
      <c r="C98" s="5" t="s">
        <v>15</v>
      </c>
      <c r="D98" s="12">
        <v>3505000</v>
      </c>
    </row>
    <row r="99" spans="1:4" x14ac:dyDescent="0.3">
      <c r="A99" s="5">
        <v>4</v>
      </c>
      <c r="B99" s="5" t="s">
        <v>29</v>
      </c>
      <c r="C99" s="5" t="s">
        <v>16</v>
      </c>
      <c r="D99" s="12">
        <v>3395000</v>
      </c>
    </row>
    <row r="100" spans="1:4" x14ac:dyDescent="0.3">
      <c r="A100" s="5">
        <v>5</v>
      </c>
      <c r="B100" s="5" t="s">
        <v>29</v>
      </c>
      <c r="C100" s="5" t="s">
        <v>11</v>
      </c>
      <c r="D100" s="12">
        <v>3389000</v>
      </c>
    </row>
    <row r="101" spans="1:4" x14ac:dyDescent="0.3">
      <c r="A101" s="5">
        <v>6</v>
      </c>
      <c r="B101" s="5" t="s">
        <v>29</v>
      </c>
      <c r="C101" s="5" t="s">
        <v>17</v>
      </c>
      <c r="D101" s="12">
        <v>4626000</v>
      </c>
    </row>
    <row r="102" spans="1:4" x14ac:dyDescent="0.3">
      <c r="A102" s="5">
        <v>7</v>
      </c>
      <c r="B102" s="5" t="s">
        <v>29</v>
      </c>
      <c r="C102" s="5" t="s">
        <v>18</v>
      </c>
      <c r="D102" s="12">
        <v>3495000</v>
      </c>
    </row>
    <row r="103" spans="1:4" x14ac:dyDescent="0.3">
      <c r="A103" s="5">
        <v>8</v>
      </c>
      <c r="B103" s="5" t="s">
        <v>29</v>
      </c>
      <c r="C103" s="5" t="s">
        <v>19</v>
      </c>
      <c r="D103" s="12">
        <v>3325000</v>
      </c>
    </row>
    <row r="104" spans="1:4" x14ac:dyDescent="0.3">
      <c r="A104" s="5">
        <v>9</v>
      </c>
      <c r="B104" s="5" t="s">
        <v>29</v>
      </c>
      <c r="C104" s="5" t="s">
        <v>12</v>
      </c>
      <c r="D104" s="12">
        <v>3934000</v>
      </c>
    </row>
    <row r="105" spans="1:4" x14ac:dyDescent="0.3">
      <c r="A105" s="5">
        <v>10</v>
      </c>
      <c r="B105" s="5" t="s">
        <v>29</v>
      </c>
      <c r="C105" s="5" t="s">
        <v>20</v>
      </c>
      <c r="D105" s="12">
        <v>3220000</v>
      </c>
    </row>
    <row r="106" spans="1:4" x14ac:dyDescent="0.3">
      <c r="A106" s="5">
        <v>11</v>
      </c>
      <c r="B106" s="5" t="s">
        <v>29</v>
      </c>
      <c r="C106" s="5" t="s">
        <v>21</v>
      </c>
      <c r="D106" s="12">
        <v>4801000</v>
      </c>
    </row>
    <row r="107" spans="1:4" x14ac:dyDescent="0.3">
      <c r="A107" s="5">
        <v>12</v>
      </c>
      <c r="B107" s="5" t="s">
        <v>29</v>
      </c>
      <c r="C107" s="5" t="s">
        <v>22</v>
      </c>
      <c r="D107" s="12">
        <v>3117000</v>
      </c>
    </row>
    <row r="108" spans="1:4" x14ac:dyDescent="0.3">
      <c r="A108" s="5">
        <v>13</v>
      </c>
      <c r="B108" s="5" t="s">
        <v>29</v>
      </c>
      <c r="C108" s="5" t="s">
        <v>13</v>
      </c>
      <c r="D108" s="12">
        <v>3510000</v>
      </c>
    </row>
    <row r="109" spans="1:4" x14ac:dyDescent="0.3">
      <c r="A109" s="5">
        <v>14</v>
      </c>
      <c r="B109" s="5" t="s">
        <v>29</v>
      </c>
      <c r="C109" s="5" t="s">
        <v>23</v>
      </c>
      <c r="D109" s="12">
        <v>3259000</v>
      </c>
    </row>
    <row r="110" spans="1:4" x14ac:dyDescent="0.3">
      <c r="A110" s="1">
        <v>15</v>
      </c>
      <c r="B110" s="1" t="s">
        <v>34</v>
      </c>
      <c r="C110" s="1" t="s">
        <v>33</v>
      </c>
      <c r="D110" s="12">
        <v>56000000</v>
      </c>
    </row>
    <row r="111" spans="1:4" x14ac:dyDescent="0.3">
      <c r="A111" s="16"/>
      <c r="B111" s="16"/>
      <c r="C111" s="16" t="s">
        <v>8</v>
      </c>
      <c r="D111" s="17">
        <f>SUM(D96:D110)</f>
        <v>106540000</v>
      </c>
    </row>
    <row r="112" spans="1:4" s="19" customFormat="1" x14ac:dyDescent="0.3">
      <c r="A112" s="21" t="s">
        <v>37</v>
      </c>
      <c r="B112" s="21"/>
      <c r="C112" s="21"/>
      <c r="D112" s="18">
        <f>D25+D42+D59+D76+D93+D111</f>
        <v>338219000</v>
      </c>
    </row>
  </sheetData>
  <mergeCells count="8">
    <mergeCell ref="A2:C2"/>
    <mergeCell ref="A112:C112"/>
    <mergeCell ref="A7:D7"/>
    <mergeCell ref="A1:C1"/>
    <mergeCell ref="A3:B3"/>
    <mergeCell ref="D2:D3"/>
    <mergeCell ref="A5:D5"/>
    <mergeCell ref="A6:D6"/>
  </mergeCells>
  <phoneticPr fontId="1" type="noConversion"/>
  <printOptions horizontalCentered="1"/>
  <pageMargins left="1" right="1" top="0.5" bottom="0.5" header="0.3" footer="0.3"/>
  <pageSetup paperSize="9" orientation="landscape" r:id="rId1"/>
  <headerFooter>
    <oddFooter>&amp;C&amp;10&amp;P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CAA9-957B-481F-9923-0F709AB36992}">
  <dimension ref="A1:D17"/>
  <sheetViews>
    <sheetView workbookViewId="0">
      <selection activeCell="A17" sqref="A17:D17"/>
    </sheetView>
  </sheetViews>
  <sheetFormatPr defaultColWidth="18.21875" defaultRowHeight="18.75" x14ac:dyDescent="0.3"/>
  <cols>
    <col min="1" max="16384" width="18.21875" style="3"/>
  </cols>
  <sheetData>
    <row r="1" spans="1:4" x14ac:dyDescent="0.3">
      <c r="A1" s="11" t="s">
        <v>2</v>
      </c>
      <c r="B1" s="11" t="s">
        <v>3</v>
      </c>
      <c r="C1" s="11" t="s">
        <v>4</v>
      </c>
      <c r="D1" s="11" t="s">
        <v>5</v>
      </c>
    </row>
    <row r="2" spans="1:4" x14ac:dyDescent="0.3">
      <c r="A2" s="4"/>
      <c r="B2" s="4" t="s">
        <v>6</v>
      </c>
      <c r="C2" s="4" t="s">
        <v>7</v>
      </c>
      <c r="D2" s="4">
        <v>1</v>
      </c>
    </row>
    <row r="3" spans="1:4" x14ac:dyDescent="0.3">
      <c r="A3" s="5">
        <v>1</v>
      </c>
      <c r="B3" s="5" t="s">
        <v>9</v>
      </c>
      <c r="C3" s="5" t="s">
        <v>10</v>
      </c>
      <c r="D3" s="6">
        <v>3342500</v>
      </c>
    </row>
    <row r="4" spans="1:4" x14ac:dyDescent="0.3">
      <c r="A4" s="5">
        <v>2</v>
      </c>
      <c r="B4" s="5" t="s">
        <v>9</v>
      </c>
      <c r="C4" s="5" t="s">
        <v>14</v>
      </c>
      <c r="D4" s="6">
        <v>3558000</v>
      </c>
    </row>
    <row r="5" spans="1:4" x14ac:dyDescent="0.3">
      <c r="A5" s="5">
        <v>3</v>
      </c>
      <c r="B5" s="5" t="s">
        <v>9</v>
      </c>
      <c r="C5" s="5" t="s">
        <v>15</v>
      </c>
      <c r="D5" s="6">
        <v>3394000</v>
      </c>
    </row>
    <row r="6" spans="1:4" x14ac:dyDescent="0.3">
      <c r="A6" s="5">
        <v>4</v>
      </c>
      <c r="B6" s="5" t="s">
        <v>9</v>
      </c>
      <c r="C6" s="5" t="s">
        <v>16</v>
      </c>
      <c r="D6" s="6">
        <v>2813000</v>
      </c>
    </row>
    <row r="7" spans="1:4" x14ac:dyDescent="0.3">
      <c r="A7" s="5">
        <v>5</v>
      </c>
      <c r="B7" s="5" t="s">
        <v>9</v>
      </c>
      <c r="C7" s="5" t="s">
        <v>11</v>
      </c>
      <c r="D7" s="6">
        <v>3071000</v>
      </c>
    </row>
    <row r="8" spans="1:4" x14ac:dyDescent="0.3">
      <c r="A8" s="5">
        <v>6</v>
      </c>
      <c r="B8" s="5" t="s">
        <v>9</v>
      </c>
      <c r="C8" s="5" t="s">
        <v>17</v>
      </c>
      <c r="D8" s="6">
        <v>4182000</v>
      </c>
    </row>
    <row r="9" spans="1:4" x14ac:dyDescent="0.3">
      <c r="A9" s="5">
        <v>7</v>
      </c>
      <c r="B9" s="5" t="s">
        <v>9</v>
      </c>
      <c r="C9" s="5" t="s">
        <v>18</v>
      </c>
      <c r="D9" s="6">
        <v>3053000</v>
      </c>
    </row>
    <row r="10" spans="1:4" x14ac:dyDescent="0.3">
      <c r="A10" s="5">
        <v>8</v>
      </c>
      <c r="B10" s="5" t="s">
        <v>9</v>
      </c>
      <c r="C10" s="5" t="s">
        <v>19</v>
      </c>
      <c r="D10" s="6">
        <v>3118000</v>
      </c>
    </row>
    <row r="11" spans="1:4" x14ac:dyDescent="0.3">
      <c r="A11" s="5">
        <v>9</v>
      </c>
      <c r="B11" s="5" t="s">
        <v>9</v>
      </c>
      <c r="C11" s="5" t="s">
        <v>12</v>
      </c>
      <c r="D11" s="6">
        <v>3559000</v>
      </c>
    </row>
    <row r="12" spans="1:4" x14ac:dyDescent="0.3">
      <c r="A12" s="5">
        <v>10</v>
      </c>
      <c r="B12" s="5" t="s">
        <v>9</v>
      </c>
      <c r="C12" s="5" t="s">
        <v>20</v>
      </c>
      <c r="D12" s="6">
        <v>3051500</v>
      </c>
    </row>
    <row r="13" spans="1:4" x14ac:dyDescent="0.3">
      <c r="A13" s="5">
        <v>11</v>
      </c>
      <c r="B13" s="5" t="s">
        <v>9</v>
      </c>
      <c r="C13" s="5" t="s">
        <v>21</v>
      </c>
      <c r="D13" s="6">
        <v>3656500</v>
      </c>
    </row>
    <row r="14" spans="1:4" x14ac:dyDescent="0.3">
      <c r="A14" s="5">
        <v>12</v>
      </c>
      <c r="B14" s="5" t="s">
        <v>9</v>
      </c>
      <c r="C14" s="5" t="s">
        <v>22</v>
      </c>
      <c r="D14" s="6">
        <v>2948000</v>
      </c>
    </row>
    <row r="15" spans="1:4" x14ac:dyDescent="0.3">
      <c r="A15" s="5">
        <v>13</v>
      </c>
      <c r="B15" s="5" t="s">
        <v>9</v>
      </c>
      <c r="C15" s="5" t="s">
        <v>13</v>
      </c>
      <c r="D15" s="6">
        <v>3454500</v>
      </c>
    </row>
    <row r="16" spans="1:4" x14ac:dyDescent="0.3">
      <c r="A16" s="5">
        <v>14</v>
      </c>
      <c r="B16" s="5" t="s">
        <v>9</v>
      </c>
      <c r="C16" s="5" t="s">
        <v>23</v>
      </c>
      <c r="D16" s="6">
        <v>3477500</v>
      </c>
    </row>
    <row r="17" spans="1:4" x14ac:dyDescent="0.3">
      <c r="A17" s="16"/>
      <c r="B17" s="16"/>
      <c r="C17" s="16" t="s">
        <v>8</v>
      </c>
      <c r="D17" s="17">
        <f>SUM(D3:D16)</f>
        <v>46678500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CC87-4699-4AC5-B9D2-D2A8FE1135FF}">
  <dimension ref="A1:D17"/>
  <sheetViews>
    <sheetView workbookViewId="0">
      <selection activeCell="A17" sqref="A17:D17"/>
    </sheetView>
  </sheetViews>
  <sheetFormatPr defaultColWidth="18.21875" defaultRowHeight="18.75" x14ac:dyDescent="0.3"/>
  <cols>
    <col min="1" max="16384" width="18.21875" style="3"/>
  </cols>
  <sheetData>
    <row r="1" spans="1:4" x14ac:dyDescent="0.3">
      <c r="A1" s="11" t="s">
        <v>2</v>
      </c>
      <c r="B1" s="11" t="s">
        <v>3</v>
      </c>
      <c r="C1" s="11" t="s">
        <v>4</v>
      </c>
      <c r="D1" s="11" t="s">
        <v>5</v>
      </c>
    </row>
    <row r="2" spans="1:4" x14ac:dyDescent="0.3">
      <c r="A2" s="4"/>
      <c r="B2" s="4" t="s">
        <v>6</v>
      </c>
      <c r="C2" s="4" t="s">
        <v>7</v>
      </c>
      <c r="D2" s="4">
        <v>1</v>
      </c>
    </row>
    <row r="3" spans="1:4" x14ac:dyDescent="0.3">
      <c r="A3" s="5">
        <v>1</v>
      </c>
      <c r="B3" s="5" t="s">
        <v>25</v>
      </c>
      <c r="C3" s="5" t="s">
        <v>10</v>
      </c>
      <c r="D3" s="7">
        <v>3067000</v>
      </c>
    </row>
    <row r="4" spans="1:4" x14ac:dyDescent="0.3">
      <c r="A4" s="5">
        <v>2</v>
      </c>
      <c r="B4" s="5" t="s">
        <v>25</v>
      </c>
      <c r="C4" s="5" t="s">
        <v>14</v>
      </c>
      <c r="D4" s="7">
        <v>3526500</v>
      </c>
    </row>
    <row r="5" spans="1:4" x14ac:dyDescent="0.3">
      <c r="A5" s="5">
        <v>3</v>
      </c>
      <c r="B5" s="5" t="s">
        <v>25</v>
      </c>
      <c r="C5" s="5" t="s">
        <v>15</v>
      </c>
      <c r="D5" s="7">
        <v>3376500</v>
      </c>
    </row>
    <row r="6" spans="1:4" x14ac:dyDescent="0.3">
      <c r="A6" s="5">
        <v>4</v>
      </c>
      <c r="B6" s="5" t="s">
        <v>25</v>
      </c>
      <c r="C6" s="5" t="s">
        <v>16</v>
      </c>
      <c r="D6" s="7">
        <v>2900000</v>
      </c>
    </row>
    <row r="7" spans="1:4" x14ac:dyDescent="0.3">
      <c r="A7" s="5">
        <v>5</v>
      </c>
      <c r="B7" s="5" t="s">
        <v>25</v>
      </c>
      <c r="C7" s="5" t="s">
        <v>11</v>
      </c>
      <c r="D7" s="7">
        <v>3064000</v>
      </c>
    </row>
    <row r="8" spans="1:4" x14ac:dyDescent="0.3">
      <c r="A8" s="5">
        <v>6</v>
      </c>
      <c r="B8" s="5" t="s">
        <v>25</v>
      </c>
      <c r="C8" s="5" t="s">
        <v>17</v>
      </c>
      <c r="D8" s="7">
        <v>4105000</v>
      </c>
    </row>
    <row r="9" spans="1:4" x14ac:dyDescent="0.3">
      <c r="A9" s="5">
        <v>7</v>
      </c>
      <c r="B9" s="5" t="s">
        <v>25</v>
      </c>
      <c r="C9" s="5" t="s">
        <v>18</v>
      </c>
      <c r="D9" s="7">
        <v>3032000</v>
      </c>
    </row>
    <row r="10" spans="1:4" x14ac:dyDescent="0.3">
      <c r="A10" s="5">
        <v>8</v>
      </c>
      <c r="B10" s="5" t="s">
        <v>25</v>
      </c>
      <c r="C10" s="5" t="s">
        <v>19</v>
      </c>
      <c r="D10" s="7">
        <v>3020000</v>
      </c>
    </row>
    <row r="11" spans="1:4" x14ac:dyDescent="0.3">
      <c r="A11" s="5">
        <v>9</v>
      </c>
      <c r="B11" s="5" t="s">
        <v>25</v>
      </c>
      <c r="C11" s="5" t="s">
        <v>12</v>
      </c>
      <c r="D11" s="7">
        <v>3285500</v>
      </c>
    </row>
    <row r="12" spans="1:4" x14ac:dyDescent="0.3">
      <c r="A12" s="5">
        <v>10</v>
      </c>
      <c r="B12" s="5" t="s">
        <v>25</v>
      </c>
      <c r="C12" s="5" t="s">
        <v>20</v>
      </c>
      <c r="D12" s="7">
        <v>3041000</v>
      </c>
    </row>
    <row r="13" spans="1:4" x14ac:dyDescent="0.3">
      <c r="A13" s="5">
        <v>11</v>
      </c>
      <c r="B13" s="5" t="s">
        <v>25</v>
      </c>
      <c r="C13" s="5" t="s">
        <v>21</v>
      </c>
      <c r="D13" s="7">
        <v>3593500</v>
      </c>
    </row>
    <row r="14" spans="1:4" x14ac:dyDescent="0.3">
      <c r="A14" s="5">
        <v>12</v>
      </c>
      <c r="B14" s="5" t="s">
        <v>25</v>
      </c>
      <c r="C14" s="5" t="s">
        <v>22</v>
      </c>
      <c r="D14" s="7">
        <v>2969000</v>
      </c>
    </row>
    <row r="15" spans="1:4" x14ac:dyDescent="0.3">
      <c r="A15" s="5">
        <v>13</v>
      </c>
      <c r="B15" s="5" t="s">
        <v>25</v>
      </c>
      <c r="C15" s="5" t="s">
        <v>13</v>
      </c>
      <c r="D15" s="7">
        <v>3447500</v>
      </c>
    </row>
    <row r="16" spans="1:4" x14ac:dyDescent="0.3">
      <c r="A16" s="5">
        <v>14</v>
      </c>
      <c r="B16" s="5" t="s">
        <v>25</v>
      </c>
      <c r="C16" s="5" t="s">
        <v>23</v>
      </c>
      <c r="D16" s="7">
        <v>3023500</v>
      </c>
    </row>
    <row r="17" spans="1:4" x14ac:dyDescent="0.3">
      <c r="A17" s="16"/>
      <c r="B17" s="16"/>
      <c r="C17" s="16" t="s">
        <v>8</v>
      </c>
      <c r="D17" s="17">
        <f>SUM(D3:D16)</f>
        <v>45451000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619EB-FE74-4033-8CF9-38F8B35F9F7D}">
  <dimension ref="A1:D17"/>
  <sheetViews>
    <sheetView workbookViewId="0">
      <selection activeCell="A17" sqref="A17:D17"/>
    </sheetView>
  </sheetViews>
  <sheetFormatPr defaultColWidth="18.21875" defaultRowHeight="18.75" x14ac:dyDescent="0.3"/>
  <cols>
    <col min="1" max="16384" width="18.21875" style="3"/>
  </cols>
  <sheetData>
    <row r="1" spans="1:4" x14ac:dyDescent="0.3">
      <c r="A1" s="11" t="s">
        <v>2</v>
      </c>
      <c r="B1" s="11" t="s">
        <v>3</v>
      </c>
      <c r="C1" s="11" t="s">
        <v>4</v>
      </c>
      <c r="D1" s="11" t="s">
        <v>5</v>
      </c>
    </row>
    <row r="2" spans="1:4" x14ac:dyDescent="0.3">
      <c r="A2" s="4"/>
      <c r="B2" s="4" t="s">
        <v>6</v>
      </c>
      <c r="C2" s="4" t="s">
        <v>7</v>
      </c>
      <c r="D2" s="4">
        <v>1</v>
      </c>
    </row>
    <row r="3" spans="1:4" x14ac:dyDescent="0.3">
      <c r="A3" s="5">
        <v>1</v>
      </c>
      <c r="B3" s="5" t="s">
        <v>26</v>
      </c>
      <c r="C3" s="5" t="s">
        <v>10</v>
      </c>
      <c r="D3" s="7">
        <v>2920000</v>
      </c>
    </row>
    <row r="4" spans="1:4" x14ac:dyDescent="0.3">
      <c r="A4" s="5">
        <v>2</v>
      </c>
      <c r="B4" s="5" t="s">
        <v>26</v>
      </c>
      <c r="C4" s="5" t="s">
        <v>14</v>
      </c>
      <c r="D4" s="7">
        <v>3446000</v>
      </c>
    </row>
    <row r="5" spans="1:4" x14ac:dyDescent="0.3">
      <c r="A5" s="5">
        <v>3</v>
      </c>
      <c r="B5" s="5" t="s">
        <v>26</v>
      </c>
      <c r="C5" s="5" t="s">
        <v>15</v>
      </c>
      <c r="D5" s="7">
        <v>3187500</v>
      </c>
    </row>
    <row r="6" spans="1:4" x14ac:dyDescent="0.3">
      <c r="A6" s="5">
        <v>4</v>
      </c>
      <c r="B6" s="5" t="s">
        <v>26</v>
      </c>
      <c r="C6" s="5" t="s">
        <v>16</v>
      </c>
      <c r="D6" s="7">
        <v>2973500</v>
      </c>
    </row>
    <row r="7" spans="1:4" x14ac:dyDescent="0.3">
      <c r="A7" s="5">
        <v>5</v>
      </c>
      <c r="B7" s="5" t="s">
        <v>26</v>
      </c>
      <c r="C7" s="5" t="s">
        <v>11</v>
      </c>
      <c r="D7" s="7">
        <v>3071000</v>
      </c>
    </row>
    <row r="8" spans="1:4" x14ac:dyDescent="0.3">
      <c r="A8" s="5">
        <v>6</v>
      </c>
      <c r="B8" s="5" t="s">
        <v>26</v>
      </c>
      <c r="C8" s="5" t="s">
        <v>17</v>
      </c>
      <c r="D8" s="7">
        <v>3734000</v>
      </c>
    </row>
    <row r="9" spans="1:4" x14ac:dyDescent="0.3">
      <c r="A9" s="5">
        <v>7</v>
      </c>
      <c r="B9" s="5" t="s">
        <v>26</v>
      </c>
      <c r="C9" s="5" t="s">
        <v>18</v>
      </c>
      <c r="D9" s="7">
        <v>2997000</v>
      </c>
    </row>
    <row r="10" spans="1:4" x14ac:dyDescent="0.3">
      <c r="A10" s="5">
        <v>8</v>
      </c>
      <c r="B10" s="5" t="s">
        <v>26</v>
      </c>
      <c r="C10" s="5" t="s">
        <v>19</v>
      </c>
      <c r="D10" s="7">
        <v>2964000</v>
      </c>
    </row>
    <row r="11" spans="1:4" x14ac:dyDescent="0.3">
      <c r="A11" s="5">
        <v>9</v>
      </c>
      <c r="B11" s="5" t="s">
        <v>26</v>
      </c>
      <c r="C11" s="5" t="s">
        <v>12</v>
      </c>
      <c r="D11" s="7">
        <v>3292500</v>
      </c>
    </row>
    <row r="12" spans="1:4" x14ac:dyDescent="0.3">
      <c r="A12" s="5">
        <v>10</v>
      </c>
      <c r="B12" s="5" t="s">
        <v>26</v>
      </c>
      <c r="C12" s="5" t="s">
        <v>20</v>
      </c>
      <c r="D12" s="7">
        <v>3027000</v>
      </c>
    </row>
    <row r="13" spans="1:4" x14ac:dyDescent="0.3">
      <c r="A13" s="5">
        <v>11</v>
      </c>
      <c r="B13" s="5" t="s">
        <v>26</v>
      </c>
      <c r="C13" s="5" t="s">
        <v>21</v>
      </c>
      <c r="D13" s="7">
        <v>3688000</v>
      </c>
    </row>
    <row r="14" spans="1:4" x14ac:dyDescent="0.3">
      <c r="A14" s="5">
        <v>12</v>
      </c>
      <c r="B14" s="5" t="s">
        <v>26</v>
      </c>
      <c r="C14" s="5" t="s">
        <v>22</v>
      </c>
      <c r="D14" s="7">
        <v>2927000</v>
      </c>
    </row>
    <row r="15" spans="1:4" x14ac:dyDescent="0.3">
      <c r="A15" s="5">
        <v>13</v>
      </c>
      <c r="B15" s="5" t="s">
        <v>26</v>
      </c>
      <c r="C15" s="5" t="s">
        <v>13</v>
      </c>
      <c r="D15" s="7">
        <v>3283000</v>
      </c>
    </row>
    <row r="16" spans="1:4" x14ac:dyDescent="0.3">
      <c r="A16" s="5">
        <v>14</v>
      </c>
      <c r="B16" s="5" t="s">
        <v>26</v>
      </c>
      <c r="C16" s="5" t="s">
        <v>23</v>
      </c>
      <c r="D16" s="7">
        <v>3065500</v>
      </c>
    </row>
    <row r="17" spans="1:4" x14ac:dyDescent="0.3">
      <c r="A17" s="16"/>
      <c r="B17" s="16"/>
      <c r="C17" s="16" t="s">
        <v>8</v>
      </c>
      <c r="D17" s="17">
        <f>SUM(D3:D16)</f>
        <v>44576000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5F47A-F5F8-4A60-AA94-DE7D0B563925}">
  <dimension ref="A1:D17"/>
  <sheetViews>
    <sheetView workbookViewId="0">
      <selection activeCell="A17" sqref="A17:D17"/>
    </sheetView>
  </sheetViews>
  <sheetFormatPr defaultColWidth="18.21875" defaultRowHeight="18.75" x14ac:dyDescent="0.3"/>
  <cols>
    <col min="1" max="16384" width="18.21875" style="3"/>
  </cols>
  <sheetData>
    <row r="1" spans="1:4" x14ac:dyDescent="0.3">
      <c r="A1" s="11" t="s">
        <v>2</v>
      </c>
      <c r="B1" s="11" t="s">
        <v>3</v>
      </c>
      <c r="C1" s="11" t="s">
        <v>4</v>
      </c>
      <c r="D1" s="11" t="s">
        <v>5</v>
      </c>
    </row>
    <row r="2" spans="1:4" x14ac:dyDescent="0.3">
      <c r="A2" s="4"/>
      <c r="B2" s="4" t="s">
        <v>6</v>
      </c>
      <c r="C2" s="4" t="s">
        <v>7</v>
      </c>
      <c r="D2" s="4">
        <v>1</v>
      </c>
    </row>
    <row r="3" spans="1:4" x14ac:dyDescent="0.3">
      <c r="A3" s="5">
        <v>1</v>
      </c>
      <c r="B3" s="5" t="s">
        <v>27</v>
      </c>
      <c r="C3" s="5" t="s">
        <v>10</v>
      </c>
      <c r="D3" s="7">
        <v>3109000</v>
      </c>
    </row>
    <row r="4" spans="1:4" x14ac:dyDescent="0.3">
      <c r="A4" s="5">
        <v>2</v>
      </c>
      <c r="B4" s="5" t="s">
        <v>27</v>
      </c>
      <c r="C4" s="5" t="s">
        <v>14</v>
      </c>
      <c r="D4" s="7">
        <v>3614000</v>
      </c>
    </row>
    <row r="5" spans="1:4" x14ac:dyDescent="0.3">
      <c r="A5" s="5">
        <v>3</v>
      </c>
      <c r="B5" s="5" t="s">
        <v>27</v>
      </c>
      <c r="C5" s="5" t="s">
        <v>15</v>
      </c>
      <c r="D5" s="7">
        <v>3443000</v>
      </c>
    </row>
    <row r="6" spans="1:4" x14ac:dyDescent="0.3">
      <c r="A6" s="5">
        <v>4</v>
      </c>
      <c r="B6" s="5" t="s">
        <v>27</v>
      </c>
      <c r="C6" s="5" t="s">
        <v>16</v>
      </c>
      <c r="D6" s="7">
        <v>3075000</v>
      </c>
    </row>
    <row r="7" spans="1:4" x14ac:dyDescent="0.3">
      <c r="A7" s="5">
        <v>5</v>
      </c>
      <c r="B7" s="5" t="s">
        <v>27</v>
      </c>
      <c r="C7" s="5" t="s">
        <v>11</v>
      </c>
      <c r="D7" s="7">
        <v>3127000</v>
      </c>
    </row>
    <row r="8" spans="1:4" x14ac:dyDescent="0.3">
      <c r="A8" s="5">
        <v>6</v>
      </c>
      <c r="B8" s="5" t="s">
        <v>27</v>
      </c>
      <c r="C8" s="5" t="s">
        <v>17</v>
      </c>
      <c r="D8" s="7">
        <v>4266000</v>
      </c>
    </row>
    <row r="9" spans="1:4" x14ac:dyDescent="0.3">
      <c r="A9" s="5">
        <v>7</v>
      </c>
      <c r="B9" s="5" t="s">
        <v>27</v>
      </c>
      <c r="C9" s="5" t="s">
        <v>18</v>
      </c>
      <c r="D9" s="7">
        <v>3046000</v>
      </c>
    </row>
    <row r="10" spans="1:4" x14ac:dyDescent="0.3">
      <c r="A10" s="5">
        <v>8</v>
      </c>
      <c r="B10" s="5" t="s">
        <v>27</v>
      </c>
      <c r="C10" s="5" t="s">
        <v>19</v>
      </c>
      <c r="D10" s="7">
        <v>3065500</v>
      </c>
    </row>
    <row r="11" spans="1:4" x14ac:dyDescent="0.3">
      <c r="A11" s="5">
        <v>9</v>
      </c>
      <c r="B11" s="5" t="s">
        <v>27</v>
      </c>
      <c r="C11" s="5" t="s">
        <v>12</v>
      </c>
      <c r="D11" s="7">
        <v>3394000</v>
      </c>
    </row>
    <row r="12" spans="1:4" x14ac:dyDescent="0.3">
      <c r="A12" s="5">
        <v>10</v>
      </c>
      <c r="B12" s="5" t="s">
        <v>27</v>
      </c>
      <c r="C12" s="5" t="s">
        <v>20</v>
      </c>
      <c r="D12" s="7">
        <v>3135500</v>
      </c>
    </row>
    <row r="13" spans="1:4" x14ac:dyDescent="0.3">
      <c r="A13" s="5">
        <v>11</v>
      </c>
      <c r="B13" s="5" t="s">
        <v>27</v>
      </c>
      <c r="C13" s="5" t="s">
        <v>21</v>
      </c>
      <c r="D13" s="7">
        <v>4013500</v>
      </c>
    </row>
    <row r="14" spans="1:4" x14ac:dyDescent="0.3">
      <c r="A14" s="5">
        <v>12</v>
      </c>
      <c r="B14" s="5" t="s">
        <v>27</v>
      </c>
      <c r="C14" s="5" t="s">
        <v>22</v>
      </c>
      <c r="D14" s="7">
        <v>2990000</v>
      </c>
    </row>
    <row r="15" spans="1:4" x14ac:dyDescent="0.3">
      <c r="A15" s="5">
        <v>13</v>
      </c>
      <c r="B15" s="5" t="s">
        <v>27</v>
      </c>
      <c r="C15" s="5" t="s">
        <v>13</v>
      </c>
      <c r="D15" s="7">
        <v>3269500</v>
      </c>
    </row>
    <row r="16" spans="1:4" x14ac:dyDescent="0.3">
      <c r="A16" s="5">
        <v>14</v>
      </c>
      <c r="B16" s="5" t="s">
        <v>27</v>
      </c>
      <c r="C16" s="5" t="s">
        <v>23</v>
      </c>
      <c r="D16" s="7">
        <v>3156500</v>
      </c>
    </row>
    <row r="17" spans="1:4" x14ac:dyDescent="0.3">
      <c r="A17" s="16"/>
      <c r="B17" s="16"/>
      <c r="C17" s="16" t="s">
        <v>8</v>
      </c>
      <c r="D17" s="17">
        <f>SUM(D3:D16)</f>
        <v>46704500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0F157-C09B-4EC2-ABB1-574A5A11090A}">
  <dimension ref="A1:D17"/>
  <sheetViews>
    <sheetView workbookViewId="0">
      <selection activeCell="A17" sqref="A17:D17"/>
    </sheetView>
  </sheetViews>
  <sheetFormatPr defaultColWidth="18.21875" defaultRowHeight="18.75" x14ac:dyDescent="0.3"/>
  <cols>
    <col min="1" max="16384" width="18.21875" style="3"/>
  </cols>
  <sheetData>
    <row r="1" spans="1:4" x14ac:dyDescent="0.3">
      <c r="A1" s="11" t="s">
        <v>2</v>
      </c>
      <c r="B1" s="11" t="s">
        <v>3</v>
      </c>
      <c r="C1" s="11" t="s">
        <v>4</v>
      </c>
      <c r="D1" s="11" t="s">
        <v>5</v>
      </c>
    </row>
    <row r="2" spans="1:4" x14ac:dyDescent="0.3">
      <c r="A2" s="4"/>
      <c r="B2" s="4" t="s">
        <v>6</v>
      </c>
      <c r="C2" s="4" t="s">
        <v>7</v>
      </c>
      <c r="D2" s="4">
        <v>1</v>
      </c>
    </row>
    <row r="3" spans="1:4" x14ac:dyDescent="0.3">
      <c r="A3" s="5">
        <v>1</v>
      </c>
      <c r="B3" s="5" t="s">
        <v>28</v>
      </c>
      <c r="C3" s="5" t="s">
        <v>10</v>
      </c>
      <c r="D3" s="7">
        <v>3179000</v>
      </c>
    </row>
    <row r="4" spans="1:4" x14ac:dyDescent="0.3">
      <c r="A4" s="5">
        <v>2</v>
      </c>
      <c r="B4" s="5" t="s">
        <v>28</v>
      </c>
      <c r="C4" s="5" t="s">
        <v>14</v>
      </c>
      <c r="D4" s="7">
        <v>3645500</v>
      </c>
    </row>
    <row r="5" spans="1:4" x14ac:dyDescent="0.3">
      <c r="A5" s="5">
        <v>3</v>
      </c>
      <c r="B5" s="5" t="s">
        <v>28</v>
      </c>
      <c r="C5" s="5" t="s">
        <v>15</v>
      </c>
      <c r="D5" s="7">
        <v>3446500</v>
      </c>
    </row>
    <row r="6" spans="1:4" x14ac:dyDescent="0.3">
      <c r="A6" s="5">
        <v>4</v>
      </c>
      <c r="B6" s="5" t="s">
        <v>28</v>
      </c>
      <c r="C6" s="5" t="s">
        <v>16</v>
      </c>
      <c r="D6" s="7">
        <v>3278000</v>
      </c>
    </row>
    <row r="7" spans="1:4" x14ac:dyDescent="0.3">
      <c r="A7" s="5">
        <v>5</v>
      </c>
      <c r="B7" s="5" t="s">
        <v>28</v>
      </c>
      <c r="C7" s="5" t="s">
        <v>11</v>
      </c>
      <c r="D7" s="7">
        <v>3256500</v>
      </c>
    </row>
    <row r="8" spans="1:4" x14ac:dyDescent="0.3">
      <c r="A8" s="5">
        <v>6</v>
      </c>
      <c r="B8" s="5" t="s">
        <v>28</v>
      </c>
      <c r="C8" s="5" t="s">
        <v>17</v>
      </c>
      <c r="D8" s="7">
        <v>4518000</v>
      </c>
    </row>
    <row r="9" spans="1:4" x14ac:dyDescent="0.3">
      <c r="A9" s="5">
        <v>7</v>
      </c>
      <c r="B9" s="5" t="s">
        <v>28</v>
      </c>
      <c r="C9" s="5" t="s">
        <v>18</v>
      </c>
      <c r="D9" s="7">
        <v>3249000</v>
      </c>
    </row>
    <row r="10" spans="1:4" x14ac:dyDescent="0.3">
      <c r="A10" s="5">
        <v>8</v>
      </c>
      <c r="B10" s="5" t="s">
        <v>28</v>
      </c>
      <c r="C10" s="5" t="s">
        <v>19</v>
      </c>
      <c r="D10" s="7">
        <v>3146000</v>
      </c>
    </row>
    <row r="11" spans="1:4" x14ac:dyDescent="0.3">
      <c r="A11" s="5">
        <v>9</v>
      </c>
      <c r="B11" s="5" t="s">
        <v>28</v>
      </c>
      <c r="C11" s="5" t="s">
        <v>12</v>
      </c>
      <c r="D11" s="7">
        <v>3677500</v>
      </c>
    </row>
    <row r="12" spans="1:4" x14ac:dyDescent="0.3">
      <c r="A12" s="5">
        <v>10</v>
      </c>
      <c r="B12" s="5" t="s">
        <v>28</v>
      </c>
      <c r="C12" s="5" t="s">
        <v>20</v>
      </c>
      <c r="D12" s="7">
        <v>3090000</v>
      </c>
    </row>
    <row r="13" spans="1:4" x14ac:dyDescent="0.3">
      <c r="A13" s="5">
        <v>11</v>
      </c>
      <c r="B13" s="5" t="s">
        <v>28</v>
      </c>
      <c r="C13" s="5" t="s">
        <v>21</v>
      </c>
      <c r="D13" s="7">
        <v>4321500</v>
      </c>
    </row>
    <row r="14" spans="1:4" x14ac:dyDescent="0.3">
      <c r="A14" s="5">
        <v>12</v>
      </c>
      <c r="B14" s="5" t="s">
        <v>28</v>
      </c>
      <c r="C14" s="5" t="s">
        <v>22</v>
      </c>
      <c r="D14" s="7">
        <v>3053000</v>
      </c>
    </row>
    <row r="15" spans="1:4" x14ac:dyDescent="0.3">
      <c r="A15" s="5">
        <v>13</v>
      </c>
      <c r="B15" s="5" t="s">
        <v>28</v>
      </c>
      <c r="C15" s="5" t="s">
        <v>13</v>
      </c>
      <c r="D15" s="7">
        <v>3325500</v>
      </c>
    </row>
    <row r="16" spans="1:4" x14ac:dyDescent="0.3">
      <c r="A16" s="5">
        <v>14</v>
      </c>
      <c r="B16" s="5" t="s">
        <v>28</v>
      </c>
      <c r="C16" s="5" t="s">
        <v>23</v>
      </c>
      <c r="D16" s="7">
        <v>3083000</v>
      </c>
    </row>
    <row r="17" spans="1:4" x14ac:dyDescent="0.3">
      <c r="A17" s="16"/>
      <c r="B17" s="16"/>
      <c r="C17" s="16" t="s">
        <v>8</v>
      </c>
      <c r="D17" s="17">
        <f>SUM(D3:D16)</f>
        <v>48269000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E4B20-419A-4ACE-A6D2-42E7303FC172}">
  <dimension ref="A1:D18"/>
  <sheetViews>
    <sheetView tabSelected="1" workbookViewId="0">
      <selection activeCell="E8" sqref="E8"/>
    </sheetView>
  </sheetViews>
  <sheetFormatPr defaultColWidth="18.21875" defaultRowHeight="18.75" x14ac:dyDescent="0.3"/>
  <cols>
    <col min="1" max="1" width="5.109375" style="3" bestFit="1" customWidth="1"/>
    <col min="2" max="2" width="11.44140625" style="3" bestFit="1" customWidth="1"/>
    <col min="3" max="3" width="36.21875" style="3" customWidth="1"/>
    <col min="4" max="4" width="13.5546875" style="3" bestFit="1" customWidth="1"/>
    <col min="5" max="16384" width="18.21875" style="3"/>
  </cols>
  <sheetData>
    <row r="1" spans="1:4" x14ac:dyDescent="0.3">
      <c r="A1" s="11" t="s">
        <v>2</v>
      </c>
      <c r="B1" s="11" t="s">
        <v>3</v>
      </c>
      <c r="C1" s="11" t="s">
        <v>4</v>
      </c>
      <c r="D1" s="11" t="s">
        <v>5</v>
      </c>
    </row>
    <row r="2" spans="1:4" x14ac:dyDescent="0.3">
      <c r="A2" s="4"/>
      <c r="B2" s="4" t="s">
        <v>6</v>
      </c>
      <c r="C2" s="4" t="s">
        <v>7</v>
      </c>
      <c r="D2" s="4">
        <v>1</v>
      </c>
    </row>
    <row r="3" spans="1:4" x14ac:dyDescent="0.3">
      <c r="A3" s="5">
        <v>1</v>
      </c>
      <c r="B3" s="5" t="s">
        <v>29</v>
      </c>
      <c r="C3" s="5" t="s">
        <v>10</v>
      </c>
      <c r="D3" s="7">
        <v>3207000</v>
      </c>
    </row>
    <row r="4" spans="1:4" x14ac:dyDescent="0.3">
      <c r="A4" s="5">
        <v>2</v>
      </c>
      <c r="B4" s="5" t="s">
        <v>29</v>
      </c>
      <c r="C4" s="5" t="s">
        <v>14</v>
      </c>
      <c r="D4" s="7">
        <v>3757000</v>
      </c>
    </row>
    <row r="5" spans="1:4" x14ac:dyDescent="0.3">
      <c r="A5" s="5">
        <v>3</v>
      </c>
      <c r="B5" s="5" t="s">
        <v>29</v>
      </c>
      <c r="C5" s="5" t="s">
        <v>15</v>
      </c>
      <c r="D5" s="7">
        <v>3505000</v>
      </c>
    </row>
    <row r="6" spans="1:4" x14ac:dyDescent="0.3">
      <c r="A6" s="5">
        <v>4</v>
      </c>
      <c r="B6" s="5" t="s">
        <v>29</v>
      </c>
      <c r="C6" s="5" t="s">
        <v>16</v>
      </c>
      <c r="D6" s="7">
        <v>3395000</v>
      </c>
    </row>
    <row r="7" spans="1:4" x14ac:dyDescent="0.3">
      <c r="A7" s="5">
        <v>5</v>
      </c>
      <c r="B7" s="5" t="s">
        <v>29</v>
      </c>
      <c r="C7" s="5" t="s">
        <v>11</v>
      </c>
      <c r="D7" s="7">
        <v>3389000</v>
      </c>
    </row>
    <row r="8" spans="1:4" x14ac:dyDescent="0.3">
      <c r="A8" s="5">
        <v>6</v>
      </c>
      <c r="B8" s="5" t="s">
        <v>29</v>
      </c>
      <c r="C8" s="5" t="s">
        <v>17</v>
      </c>
      <c r="D8" s="7">
        <v>4626000</v>
      </c>
    </row>
    <row r="9" spans="1:4" x14ac:dyDescent="0.3">
      <c r="A9" s="5">
        <v>7</v>
      </c>
      <c r="B9" s="5" t="s">
        <v>29</v>
      </c>
      <c r="C9" s="5" t="s">
        <v>18</v>
      </c>
      <c r="D9" s="7">
        <v>3495000</v>
      </c>
    </row>
    <row r="10" spans="1:4" x14ac:dyDescent="0.3">
      <c r="A10" s="5">
        <v>8</v>
      </c>
      <c r="B10" s="5" t="s">
        <v>29</v>
      </c>
      <c r="C10" s="5" t="s">
        <v>19</v>
      </c>
      <c r="D10" s="7">
        <v>3325000</v>
      </c>
    </row>
    <row r="11" spans="1:4" x14ac:dyDescent="0.3">
      <c r="A11" s="5">
        <v>9</v>
      </c>
      <c r="B11" s="5" t="s">
        <v>29</v>
      </c>
      <c r="C11" s="5" t="s">
        <v>12</v>
      </c>
      <c r="D11" s="7">
        <v>3934000</v>
      </c>
    </row>
    <row r="12" spans="1:4" x14ac:dyDescent="0.3">
      <c r="A12" s="5">
        <v>10</v>
      </c>
      <c r="B12" s="5" t="s">
        <v>29</v>
      </c>
      <c r="C12" s="5" t="s">
        <v>20</v>
      </c>
      <c r="D12" s="7">
        <v>3220000</v>
      </c>
    </row>
    <row r="13" spans="1:4" x14ac:dyDescent="0.3">
      <c r="A13" s="5">
        <v>11</v>
      </c>
      <c r="B13" s="5" t="s">
        <v>29</v>
      </c>
      <c r="C13" s="5" t="s">
        <v>21</v>
      </c>
      <c r="D13" s="7">
        <v>4801000</v>
      </c>
    </row>
    <row r="14" spans="1:4" x14ac:dyDescent="0.3">
      <c r="A14" s="5">
        <v>12</v>
      </c>
      <c r="B14" s="5" t="s">
        <v>29</v>
      </c>
      <c r="C14" s="5" t="s">
        <v>22</v>
      </c>
      <c r="D14" s="7">
        <v>3117000</v>
      </c>
    </row>
    <row r="15" spans="1:4" x14ac:dyDescent="0.3">
      <c r="A15" s="5">
        <v>13</v>
      </c>
      <c r="B15" s="5" t="s">
        <v>29</v>
      </c>
      <c r="C15" s="5" t="s">
        <v>13</v>
      </c>
      <c r="D15" s="7">
        <v>3510000</v>
      </c>
    </row>
    <row r="16" spans="1:4" x14ac:dyDescent="0.3">
      <c r="A16" s="5">
        <v>14</v>
      </c>
      <c r="B16" s="5" t="s">
        <v>29</v>
      </c>
      <c r="C16" s="5" t="s">
        <v>23</v>
      </c>
      <c r="D16" s="7">
        <v>3259000</v>
      </c>
    </row>
    <row r="17" spans="1:4" x14ac:dyDescent="0.3">
      <c r="A17" s="1">
        <v>15</v>
      </c>
      <c r="B17" s="1" t="s">
        <v>34</v>
      </c>
      <c r="C17" s="1" t="s">
        <v>33</v>
      </c>
      <c r="D17" s="12">
        <v>56000000</v>
      </c>
    </row>
    <row r="18" spans="1:4" x14ac:dyDescent="0.3">
      <c r="A18" s="16"/>
      <c r="B18" s="16"/>
      <c r="C18" s="16" t="s">
        <v>8</v>
      </c>
      <c r="D18" s="17">
        <f>SUM(D3:D17)</f>
        <v>106540000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1a tnt</vt:lpstr>
      <vt:lpstr>Tháng 1</vt:lpstr>
      <vt:lpstr>Tháng 2</vt:lpstr>
      <vt:lpstr>Tháng 3</vt:lpstr>
      <vt:lpstr>Tháng 4</vt:lpstr>
      <vt:lpstr>Tháng 5</vt:lpstr>
      <vt:lpstr>Tháng 6</vt:lpstr>
    </vt:vector>
  </TitlesOfParts>
  <Company>TCT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Thuong, Le Thi Thu Thuong (CCT STR-DAN)</dc:creator>
  <cp:lastModifiedBy>Quang Nguyễn</cp:lastModifiedBy>
  <cp:lastPrinted>2026-01-10T10:19:19Z</cp:lastPrinted>
  <dcterms:created xsi:type="dcterms:W3CDTF">2026-01-10T07:43:01Z</dcterms:created>
  <dcterms:modified xsi:type="dcterms:W3CDTF">2026-06-20T08:42:39Z</dcterms:modified>
</cp:coreProperties>
</file>